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0575fa227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f91e65eb8c458b"/>
    <x:sheet xmlns:r="http://schemas.openxmlformats.org/officeDocument/2006/relationships" name="Shared materials" sheetId="2" r:id="R90f23abad97345fa"/>
    <x:sheet xmlns:r="http://schemas.openxmlformats.org/officeDocument/2006/relationships" name="From Trees to Tech materials" sheetId="3" r:id="Raf6b148708a34eff"/>
    <x:sheet xmlns:r="http://schemas.openxmlformats.org/officeDocument/2006/relationships" name="PY-STEM materials" sheetId="4" r:id="Reb48476bba9140b6"/>
    <x:sheet xmlns:r="http://schemas.openxmlformats.org/officeDocument/2006/relationships" name="Prizes and rewards" sheetId="5" r:id="Rb1bbaa33f72b4b8e"/>
    <x:sheet xmlns:r="http://schemas.openxmlformats.org/officeDocument/2006/relationships" name="Safety and PPE" sheetId="6" r:id="Rb0cbfde9c3ce43ce"/>
    <x:sheet xmlns:r="http://schemas.openxmlformats.org/officeDocument/2006/relationships" name="Printing and supplies" sheetId="7" r:id="R8fbc076a542d4845"/>
    <x:sheet xmlns:r="http://schemas.openxmlformats.org/officeDocument/2006/relationships" name="Backup-only materials" sheetId="8" r:id="R84fb30183fe24b48"/>
    <x:sheet xmlns:r="http://schemas.openxmlformats.org/officeDocument/2006/relationships" name="Local purchase or borrow list" sheetId="9" r:id="Rec7ded929e054c0b"/>
    <x:sheet xmlns:r="http://schemas.openxmlformats.org/officeDocument/2006/relationships" name="Budget scenarios" sheetId="10" r:id="Recbe6baf911e4296"/>
    <x:sheet xmlns:r="http://schemas.openxmlformats.org/officeDocument/2006/relationships" name="Inventory bins" sheetId="11" r:id="R218f602555454de8"/>
    <x:sheet xmlns:r="http://schemas.openxmlformats.org/officeDocument/2006/relationships" name="Source verification log" sheetId="12" r:id="R863b26b5b5db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"/>
      <x:name val="Carlito"/>
    </x:font>
    <x:font>
      <x:sz val="9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2"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F3C7"/>
        </x:patternFill>
      </x:fill>
    </x:dxf>
    <x:dxf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d63280c0d45d0" /><Relationship Type="http://schemas.openxmlformats.org/officeDocument/2006/relationships/theme" Target="/xl/theme/theme1.xml" Id="Rf9304c41c9c04245" /><Relationship Type="http://schemas.openxmlformats.org/officeDocument/2006/relationships/sharedStrings" Target="/xl/sharedStrings.xml" Id="R461e864678b343ae" /><Relationship Type="http://schemas.openxmlformats.org/officeDocument/2006/relationships/worksheet" Target="/xl/worksheets/sheet1.xml" Id="R07f91e65eb8c458b" /><Relationship Type="http://schemas.openxmlformats.org/officeDocument/2006/relationships/worksheet" Target="/xl/worksheets/sheet2.xml" Id="R90f23abad97345fa" /><Relationship Type="http://schemas.openxmlformats.org/officeDocument/2006/relationships/worksheet" Target="/xl/worksheets/sheet3.xml" Id="Raf6b148708a34eff" /><Relationship Type="http://schemas.openxmlformats.org/officeDocument/2006/relationships/worksheet" Target="/xl/worksheets/sheet4.xml" Id="Reb48476bba9140b6" /><Relationship Type="http://schemas.openxmlformats.org/officeDocument/2006/relationships/worksheet" Target="/xl/worksheets/sheet5.xml" Id="Rb1bbaa33f72b4b8e" /><Relationship Type="http://schemas.openxmlformats.org/officeDocument/2006/relationships/worksheet" Target="/xl/worksheets/sheet6.xml" Id="Rb0cbfde9c3ce43ce" /><Relationship Type="http://schemas.openxmlformats.org/officeDocument/2006/relationships/worksheet" Target="/xl/worksheets/sheet7.xml" Id="R8fbc076a542d4845" /><Relationship Type="http://schemas.openxmlformats.org/officeDocument/2006/relationships/worksheet" Target="/xl/worksheets/sheet8.xml" Id="R84fb30183fe24b48" /><Relationship Type="http://schemas.openxmlformats.org/officeDocument/2006/relationships/worksheet" Target="/xl/worksheets/sheet9.xml" Id="Rec7ded929e054c0b" /><Relationship Type="http://schemas.openxmlformats.org/officeDocument/2006/relationships/worksheet" Target="/xl/worksheets/sheet10.xml" Id="Recbe6baf911e4296" /><Relationship Type="http://schemas.openxmlformats.org/officeDocument/2006/relationships/worksheet" Target="/xl/worksheets/sheet11.xml" Id="R218f602555454de8" /><Relationship Type="http://schemas.openxmlformats.org/officeDocument/2006/relationships/worksheet" Target="/xl/worksheets/sheet12.xml" Id="R863b26b5b5db4c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9f540e5dac4d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9f540e5dac4d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aredmaterialsTable" displayName="SharedmaterialsTable" ref="A1:Y7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romTreestoTechmaterialsTable" displayName="FromTreestoTechmaterialsTable" ref="A1:Y18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YSTEMmaterialsTable" displayName="PYSTEMmaterialsTable" ref="A1:Y17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izesandrewardsTable" displayName="PrizesandrewardsTable" ref="A1:Y6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afetyandPPETable" displayName="SafetyandPPETable" ref="A1:Y5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rintingandsuppliesTable" displayName="PrintingandsuppliesTable" ref="A1:Y3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BackuponlymaterialsTable" displayName="BackuponlymaterialsTable" ref="A1:Y9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LocalpurchaseorborrowlisTable" displayName="LocalpurchaseorborrowlisTable" ref="A1:Y54" headerRowCount="1">
  <x:tableColumns count="25">
    <x:tableColumn id="1" name="Camp"/>
    <x:tableColumn id="2" name="Activity ID"/>
    <x:tableColumn id="3" name="Activity title"/>
    <x:tableColumn id="4" name="Category"/>
    <x:tableColumn id="5" name="Item name"/>
    <x:tableColumn id="6" name="Purpose"/>
    <x:tableColumn id="7" name="Consumable or reusable"/>
    <x:tableColumn id="8" name="Existing inventory likely yes or no"/>
    <x:tableColumn id="9" name="Quantity needed for 25 students and 6 teams"/>
    <x:tableColumn id="10" name="Spare quantity"/>
    <x:tableColumn id="11" name="Recommended Amazon product name"/>
    <x:tableColumn id="12" name="Amazon URL"/>
    <x:tableColumn id="13" name="ASIN if verified"/>
    <x:tableColumn id="14" name="Unit price"/>
    <x:tableColumn id="15" name="Price verification status"/>
    <x:tableColumn id="16" name="Quantity to buy"/>
    <x:tableColumn id="17" name="Estimated subtotal"/>
    <x:tableColumn id="18" name="Purchase priority"/>
    <x:tableColumn id="19" name="Cheaper alternative"/>
    <x:tableColumn id="20" name="Local purchase better yes or no"/>
    <x:tableColumn id="21" name="Safety or allergy note"/>
    <x:tableColumn id="22" name="Storage or cleanup note"/>
    <x:tableColumn id="23" name="Last checked date"/>
    <x:tableColumn id="24" name="Source or citation"/>
    <x:tableColumn id="2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BudgetScenariosTable" displayName="BudgetScenariosTable" ref="A1:I4" headerRowCount="1">
  <x:tableColumns count="9">
    <x:tableColumn id="1" name="Scenario"/>
    <x:tableColumn id="2" name="From Trees to Tech"/>
    <x:tableColumn id="3" name="PY-STEM"/>
    <x:tableColumn id="4" name="Shared safety and PPE"/>
    <x:tableColumn id="5" name="Prizes and rewards"/>
    <x:tableColumn id="6" name="Printing and supplies"/>
    <x:tableColumn id="7" name="Backup-only"/>
    <x:tableColumn id="8" name="Total"/>
    <x:tableColumn id="9" name="Assumptions"/>
  </x:tableColumns>
  <x:tableStyleInfo name="TableStyleMedium2" showRowStripes="1"/>
</x:table>
</file>

<file path=xl/tables/table10.xml><?xml version="1.0" encoding="utf-8"?>
<x:table xmlns:x="http://schemas.openxmlformats.org/spreadsheetml/2006/main" id="10" name="InventoryBinsTable" displayName="InventoryBinsTable" ref="A1:G33" headerRowCount="1">
  <x:tableColumns count="7">
    <x:tableColumn id="1" name="Bin/Kit"/>
    <x:tableColumn id="2" name="Camp"/>
    <x:tableColumn id="3" name="Activities"/>
    <x:tableColumn id="4" name="Contents"/>
    <x:tableColumn id="5" name="Pack owner"/>
    <x:tableColumn id="6" name="Storage location"/>
    <x:tableColumn id="7" name="Reset note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VerificationTable" displayName="SourceVerificationTable" ref="A1:F10" headerRowCount="1">
  <x:tableColumns count="6">
    <x:tableColumn id="1" name="Source or item"/>
    <x:tableColumn id="2" name="URL"/>
    <x:tableColumn id="3" name="Status"/>
    <x:tableColumn id="4" name="Last checked date"/>
    <x:tableColumn id="5" name="Used for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e24488f6424c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c1d732aea149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dbe016cf86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14d1f7462b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2f422b4f5a4e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5a8a28359541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e79fc8154e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8f4f0072ce41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6007e48b2f45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54430678cc547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62da58356840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3129ed7c6d2425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" hidden="0" customWidth="1"/>
    <x:col min="4" max="4" width="24" hidden="0" customWidth="1"/>
    <x:col min="5" max="5" width="18" hidden="0" customWidth="1"/>
    <x:col min="6" max="6" width="6" hidden="0" customWidth="1"/>
  </x:cols>
  <x:sheetData>
    <x:row r="1">
      <x:c r="A1" s="24" t="str">
        <x:v>2026 STEM Camps Procurement Dashboard</x:v>
      </x:c>
      <x:c r="B1" t="str"/>
      <x:c r="C1" t="str"/>
      <x:c r="D1" t="str"/>
      <x:c r="E1" t="str"/>
      <x:c r="F1" t="str"/>
    </x:row>
    <x:row r="2">
      <x:c r="A2" t="str">
        <x:v>Last checked date</x:v>
      </x:c>
      <x:c r="B2" t="str">
        <x:v>2026-05-27</x:v>
      </x:c>
      <x:c r="C2" t="str">
        <x:v>Workbook note</x:v>
      </x:c>
      <x:c r="D2" t="str">
        <x:v>Prices and ASINs marked unverified need same-day procurement verification.</x:v>
      </x:c>
      <x:c r="E2" t="str"/>
      <x:c r="F2" t="str"/>
    </x:row>
    <x:row r="3">
      <x:c r="A3" s="28" t="str">
        <x:v>Metric</x:v>
      </x:c>
      <x:c r="B3" s="28" t="str">
        <x:v>Formula/Value</x:v>
      </x:c>
      <x:c r="C3" s="28" t="str"/>
      <x:c r="D3" s="28" t="str">
        <x:v>Metric</x:v>
      </x:c>
      <x:c r="E3" s="28" t="str">
        <x:v>Formula/Value</x:v>
      </x:c>
      <x:c r="F3" s="28" t="str"/>
    </x:row>
    <x:row r="4">
      <x:c r="A4" t="str">
        <x:v>Preferred total</x:v>
      </x:c>
      <x:c r="B4" s="22" t="n">
        <x:f>'Budget scenarios'!H2</x:f>
        <x:v>1357.47</x:v>
      </x:c>
      <x:c r="C4" t="str"/>
      <x:c r="D4" t="str">
        <x:v>Low-cost total</x:v>
      </x:c>
      <x:c r="E4" s="22" t="n">
        <x:f>'Budget scenarios'!H3</x:f>
        <x:v>890.78</x:v>
      </x:c>
      <x:c r="F4" t="str"/>
    </x:row>
    <x:row r="5">
      <x:c r="A5" t="str">
        <x:v>From Trees required</x:v>
      </x:c>
      <x:c r="B5" s="22" t="n">
        <x:f>SUMIFS('From Trees to Tech materials'!Q:Q,'From Trees to Tech materials'!R:R,"required")</x:f>
        <x:v>438</x:v>
      </x:c>
      <x:c r="C5" t="str"/>
      <x:c r="D5" t="str">
        <x:v>PY-STEM required</x:v>
      </x:c>
      <x:c r="E5" s="22" t="n">
        <x:f>SUMIFS('PY-STEM materials'!Q:Q,'PY-STEM materials'!R:R,"required")</x:f>
        <x:v>177.98000000000002</x:v>
      </x:c>
      <x:c r="F5" t="str"/>
    </x:row>
    <x:row r="6">
      <x:c r="A6" t="str">
        <x:v>Safety/PPE required</x:v>
      </x:c>
      <x:c r="B6" s="22" t="n">
        <x:f>SUMIFS('Safety and PPE'!Q:Q,'Safety and PPE'!R:R,"required")</x:f>
        <x:v>104</x:v>
      </x:c>
      <x:c r="C6" t="str"/>
      <x:c r="D6" t="str">
        <x:v>Prize total</x:v>
      </x:c>
      <x:c r="E6" s="22" t="n">
        <x:f>SUM('Prizes and rewards'!Q:Q)</x:f>
        <x:v>107</x:v>
      </x:c>
      <x:c r="F6" t="str"/>
    </x:row>
    <x:row r="7">
      <x:c r="A7" t="str">
        <x:v>Unverified line count</x:v>
      </x:c>
      <x:c r="B7" t="n">
        <x:f>COUNTIF('From Trees to Tech materials'!O:O,"unverified")+COUNTIF('PY-STEM materials'!O:O,"unverified")+COUNTIF('Shared materials'!O:O,"unverified")+COUNTIF('Prizes and rewards'!O:O,"unverified")+COUNTIF('Safety and PPE'!O:O,"unverified")</x:f>
        <x:v>6</x:v>
      </x:c>
      <x:c r="C7" t="str"/>
      <x:c r="D7" t="str">
        <x:v>Search-only line count</x:v>
      </x:c>
      <x:c r="E7" t="n">
        <x:f>COUNTIF('From Trees to Tech materials'!O:O,"search URL only")+COUNTIF('PY-STEM materials'!O:O,"search URL only")+COUNTIF('Shared materials'!O:O,"search URL only")+COUNTIF('Prizes and rewards'!O:O,"search URL only")+COUNTIF('Safety and PPE'!O:O,"search URL only")</x:f>
        <x:v>0</x:v>
      </x:c>
      <x:c r="F7" t="str"/>
    </x:row>
    <x:row r="8">
      <x:c r="A8" s="28" t="str">
        <x:v>Procurement priorities</x:v>
      </x:c>
      <x:c r="B8" s="28" t="str"/>
      <x:c r="C8" s="28" t="str"/>
      <x:c r="D8" s="28" t="str"/>
      <x:c r="E8" s="28" t="str"/>
      <x:c r="F8" s="28" t="str"/>
    </x:row>
    <x:row r="9">
      <x:c r="A9" t="str">
        <x:v>Priority</x:v>
      </x:c>
      <x:c r="B9" t="str">
        <x:v>Estimated subtotal</x:v>
      </x:c>
      <x:c r="C9" t="str"/>
      <x:c r="D9" t="str">
        <x:v>Camp</x:v>
      </x:c>
      <x:c r="E9" t="str">
        <x:v>Estimated subtotal</x:v>
      </x:c>
      <x:c r="F9" t="str"/>
    </x:row>
    <x:row r="10">
      <x:c r="A10" t="str">
        <x:v>required</x:v>
      </x:c>
      <x:c r="B10" s="22" t="n">
        <x:f>SUMIFS('From Trees to Tech materials'!Q:Q,'From Trees to Tech materials'!R:R,A10)+SUMIFS('PY-STEM materials'!Q:Q,'PY-STEM materials'!R:R,A10)+SUMIFS('Shared materials'!Q:Q,'Shared materials'!R:R,A10)+SUMIFS('Safety and PPE'!Q:Q,'Safety and PPE'!R:R,A10)+SUMIFS('Printing and supplies'!Q:Q,'Printing and supplies'!R:R,A10)</x:f>
        <x:v>996.98</x:v>
      </x:c>
      <x:c r="C10" t="str"/>
      <x:c r="D10" t="str">
        <x:v>From Trees to Tech</x:v>
      </x:c>
      <x:c r="E10" s="22" t="n">
        <x:f>SUM('From Trees to Tech materials'!Q:Q)</x:f>
        <x:v>604</x:v>
      </x:c>
      <x:c r="F10" t="str"/>
    </x:row>
    <x:row r="11">
      <x:c r="A11" t="str">
        <x:v>recommended</x:v>
      </x:c>
      <x:c r="B11" s="22" t="n">
        <x:f>SUMIFS('From Trees to Tech materials'!Q:Q,'From Trees to Tech materials'!R:R,A11)+SUMIFS('PY-STEM materials'!Q:Q,'PY-STEM materials'!R:R,A11)+SUMIFS('Shared materials'!Q:Q,'Shared materials'!R:R,A11)</x:f>
        <x:v>332.49</x:v>
      </x:c>
      <x:c r="C11" t="str"/>
      <x:c r="D11" t="str">
        <x:v>PY-STEM</x:v>
      </x:c>
      <x:c r="E11" s="22" t="n">
        <x:f>SUM('PY-STEM materials'!Q:Q)</x:f>
        <x:v>311.47</x:v>
      </x:c>
      <x:c r="F11" t="str"/>
    </x:row>
    <x:row r="12">
      <x:c r="A12" t="str">
        <x:v>prize</x:v>
      </x:c>
      <x:c r="B12" s="22" t="n">
        <x:f>SUM('Prizes and rewards'!Q:Q)</x:f>
        <x:v>107</x:v>
      </x:c>
      <x:c r="C12" t="str"/>
      <x:c r="D12" t="str">
        <x:v>Shared</x:v>
      </x:c>
      <x:c r="E12" s="22" t="n">
        <x:f>SUM('Shared materials'!Q:Q)+SUM('Safety and PPE'!Q:Q)+SUM('Printing and supplies'!Q:Q)</x:f>
        <x:v>414</x:v>
      </x:c>
      <x:c r="F12" t="str"/>
    </x:row>
    <x:row r="13">
      <x:c r="A13" t="str">
        <x:v>backup-only</x:v>
      </x:c>
      <x:c r="B13" s="22" t="n">
        <x:f>SUM('Backup-only materials'!Q:Q)</x:f>
        <x:v>96</x:v>
      </x:c>
      <x:c r="C13" t="str"/>
      <x:c r="D13" t="str"/>
      <x:c r="E13" t="str"/>
      <x:c r="F13" t="str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ee24488f6424c14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Shared</x:v>
      </x:c>
      <x:c r="B2" s="12" t="str">
        <x:v>ALL</x:v>
      </x:c>
      <x:c r="C2" s="12" t="str">
        <x:v>All activities</x:v>
      </x:c>
      <x:c r="D2" s="12" t="str">
        <x:v>PPE</x:v>
      </x:c>
      <x:c r="E2" s="12" t="str">
        <x:v>Safety goggles, class set</x:v>
      </x:c>
      <x:c r="F2" s="12" t="str">
        <x:v>Eye protection for splash, soil, plant peel, and oobleck activities</x:v>
      </x:c>
      <x:c r="G2" s="12" t="str">
        <x:v>reusable</x:v>
      </x:c>
      <x:c r="H2" s="12" t="str">
        <x:v>maybe yes</x:v>
      </x:c>
      <x:c r="I2" s="12" t="str">
        <x:v>30 goggles</x:v>
      </x:c>
      <x:c r="J2" s="12" t="str">
        <x:v>0 if existing</x:v>
      </x:c>
      <x:c r="K2" s="12" t="str">
        <x:v>classroom safety goggles 30 pack</x:v>
      </x:c>
      <x:c r="L2" s="12" t="str">
        <x:v>https://www.amazon.com/s?k=classroom+safety+goggles+30+pack</x:v>
      </x:c>
      <x:c r="M2" s="12" t="str"/>
      <x:c r="N2" s="14" t="n">
        <x:v>30</x:v>
      </x:c>
      <x:c r="O2" s="12" t="str">
        <x:v>local estimate</x:v>
      </x:c>
      <x:c r="P2" s="12" t="str">
        <x:v>1</x:v>
      </x:c>
      <x:c r="Q2" s="14" t="n">
        <x:f>IFERROR(N2*P2,0)</x:f>
        <x:v>30</x:v>
      </x:c>
      <x:c r="R2" s="12" t="str">
        <x:v>required</x:v>
      </x:c>
      <x:c r="S2" s="12" t="str">
        <x:v>Borrow from science stockroom</x:v>
      </x:c>
      <x:c r="T2" s="12" t="str">
        <x:v>yes</x:v>
      </x:c>
      <x:c r="U2" s="12" t="str">
        <x:v>Sanitize between users.</x:v>
      </x:c>
      <x:c r="V2" s="12" t="str">
        <x:v>PPE bin</x:v>
      </x:c>
      <x:c r="W2" s="12" t="str">
        <x:v>2026-05-27</x:v>
      </x:c>
      <x:c r="X2" s="12" t="str">
        <x:v>ACS/NSTA general lab safety</x:v>
      </x:c>
      <x:c r="Y2" s="12" t="str">
        <x:v>Safety-critical.</x:v>
      </x:c>
    </x:row>
    <x:row r="3">
      <x:c r="A3" s="12" t="str">
        <x:v>Shared</x:v>
      </x:c>
      <x:c r="B3" s="12" t="str">
        <x:v>ALL</x:v>
      </x:c>
      <x:c r="C3" s="12" t="str">
        <x:v>All activities</x:v>
      </x:c>
      <x:c r="D3" s="12" t="str">
        <x:v>PPE</x:v>
      </x:c>
      <x:c r="E3" s="12" t="str">
        <x:v>Nitrile gloves, 100 pack</x:v>
      </x:c>
      <x:c r="F3" s="12" t="str">
        <x:v>Soil, plant, oobleck, and cleanup handling</x:v>
      </x:c>
      <x:c r="G3" s="12" t="str">
        <x:v>consumable</x:v>
      </x:c>
      <x:c r="H3" s="12" t="str">
        <x:v>maybe yes</x:v>
      </x:c>
      <x:c r="I3" s="12" t="str">
        <x:v>2 boxes</x:v>
      </x:c>
      <x:c r="J3" s="12" t="str">
        <x:v>15 percent built into second box</x:v>
      </x:c>
      <x:c r="K3" s="12" t="str">
        <x:v>nitrile gloves medium 100 pack</x:v>
      </x:c>
      <x:c r="L3" s="12" t="str">
        <x:v>https://www.amazon.com/s?k=nitrile+gloves+medium+100+pack</x:v>
      </x:c>
      <x:c r="M3" s="12" t="str"/>
      <x:c r="N3" s="14" t="n">
        <x:v>12</x:v>
      </x:c>
      <x:c r="O3" s="12" t="str">
        <x:v>local estimate</x:v>
      </x:c>
      <x:c r="P3" s="12" t="str">
        <x:v>2</x:v>
      </x:c>
      <x:c r="Q3" s="14" t="n">
        <x:f>IFERROR(N3*P3,0)</x:f>
        <x:v>24</x:v>
      </x:c>
      <x:c r="R3" s="12" t="str">
        <x:v>required</x:v>
      </x:c>
      <x:c r="S3" s="12" t="str">
        <x:v>School stockroom</x:v>
      </x:c>
      <x:c r="T3" s="12" t="str">
        <x:v>yes</x:v>
      </x:c>
      <x:c r="U3" s="12" t="str">
        <x:v>Latex-free preferred.</x:v>
      </x:c>
      <x:c r="V3" s="12" t="str">
        <x:v>PPE bin</x:v>
      </x:c>
      <x:c r="W3" s="12" t="str">
        <x:v>2026-05-27</x:v>
      </x:c>
      <x:c r="X3" s="12" t="str">
        <x:v>ACS/NSTA general lab safety</x:v>
      </x:c>
      <x:c r="Y3" s="12" t="str">
        <x:v>Safety-critical.</x:v>
      </x:c>
    </x:row>
    <x:row r="4">
      <x:c r="A4" s="12" t="str">
        <x:v>Shared</x:v>
      </x:c>
      <x:c r="B4" s="12" t="str">
        <x:v>ALL</x:v>
      </x:c>
      <x:c r="C4" s="12" t="str">
        <x:v>All activities</x:v>
      </x:c>
      <x:c r="D4" s="12" t="str">
        <x:v>measurement</x:v>
      </x:c>
      <x:c r="E4" s="12" t="str">
        <x:v>Clipboards</x:v>
      </x:c>
      <x:c r="F4" s="12" t="str">
        <x:v>Outdoor and room data collection</x:v>
      </x:c>
      <x:c r="G4" s="12" t="str">
        <x:v>reusable</x:v>
      </x:c>
      <x:c r="H4" s="12" t="str">
        <x:v>maybe yes</x:v>
      </x:c>
      <x:c r="I4" s="12" t="str">
        <x:v>30</x:v>
      </x:c>
      <x:c r="J4" s="12" t="str">
        <x:v>0 if existing</x:v>
      </x:c>
      <x:c r="K4" s="12" t="str">
        <x:v>clipboards classroom pack</x:v>
      </x:c>
      <x:c r="L4" s="12" t="str">
        <x:v>https://www.amazon.com/s?k=clipboards+classroom+pack</x:v>
      </x:c>
      <x:c r="M4" s="12" t="str"/>
      <x:c r="N4" s="14" t="n">
        <x:v>18</x:v>
      </x:c>
      <x:c r="O4" s="12" t="str">
        <x:v>local estimate</x:v>
      </x:c>
      <x:c r="P4" s="12" t="str">
        <x:v>1</x:v>
      </x:c>
      <x:c r="Q4" s="14" t="n">
        <x:f>IFERROR(N4*P4,0)</x:f>
        <x:v>18</x:v>
      </x:c>
      <x:c r="R4" s="12" t="str">
        <x:v>recommended</x:v>
      </x:c>
      <x:c r="S4" s="12" t="str">
        <x:v>Borrow from department</x:v>
      </x:c>
      <x:c r="T4" s="12" t="str">
        <x:v>yes</x:v>
      </x:c>
      <x:c r="U4" s="12" t="str"/>
      <x:c r="V4" s="12" t="str">
        <x:v>Field bin</x:v>
      </x:c>
      <x:c r="W4" s="12" t="str">
        <x:v>2026-05-27</x:v>
      </x:c>
      <x:c r="X4" s="12" t="str">
        <x:v>planning line</x:v>
      </x:c>
      <x:c r="Y4" s="12" t="str">
        <x:v>Reusable.</x:v>
      </x:c>
    </x:row>
    <x:row r="5">
      <x:c r="A5" s="12" t="str">
        <x:v>Shared</x:v>
      </x:c>
      <x:c r="B5" s="12" t="str">
        <x:v>ALL</x:v>
      </x:c>
      <x:c r="C5" s="12" t="str">
        <x:v>All activities</x:v>
      </x:c>
      <x:c r="D5" s="12" t="str">
        <x:v>measurement</x:v>
      </x:c>
      <x:c r="E5" s="12" t="str">
        <x:v>Stopwatches or phone timers</x:v>
      </x:c>
      <x:c r="F5" s="12" t="str">
        <x:v>Timing races, trials, and relays</x:v>
      </x:c>
      <x:c r="G5" s="12" t="str">
        <x:v>reusable</x:v>
      </x:c>
      <x:c r="H5" s="12" t="str">
        <x:v>maybe yes</x:v>
      </x:c>
      <x:c r="I5" s="12" t="str">
        <x:v>6 to 12</x:v>
      </x:c>
      <x:c r="J5" s="12" t="str">
        <x:v>0 if phones allowed</x:v>
      </x:c>
      <x:c r="K5" s="12" t="str">
        <x:v>digital stopwatch 12 pack</x:v>
      </x:c>
      <x:c r="L5" s="12" t="str">
        <x:v>https://www.amazon.com/s?k=digital+stopwatch+12+pack</x:v>
      </x:c>
      <x:c r="M5" s="12" t="str"/>
      <x:c r="N5" s="14" t="n">
        <x:v>15</x:v>
      </x:c>
      <x:c r="O5" s="12" t="str">
        <x:v>local estimate</x:v>
      </x:c>
      <x:c r="P5" s="12" t="str">
        <x:v>1</x:v>
      </x:c>
      <x:c r="Q5" s="14" t="n">
        <x:f>IFERROR(N5*P5,0)</x:f>
        <x:v>15</x:v>
      </x:c>
      <x:c r="R5" s="12" t="str">
        <x:v>recommended</x:v>
      </x:c>
      <x:c r="S5" s="12" t="str">
        <x:v>Use projected timer plus staff phones</x:v>
      </x:c>
      <x:c r="T5" s="12" t="str">
        <x:v>yes</x:v>
      </x:c>
      <x:c r="U5" s="12" t="str"/>
      <x:c r="V5" s="12" t="str">
        <x:v>Measurement bin</x:v>
      </x:c>
      <x:c r="W5" s="12" t="str">
        <x:v>2026-05-27</x:v>
      </x:c>
      <x:c r="X5" s="12" t="str">
        <x:v>planning line</x:v>
      </x:c>
      <x:c r="Y5" s="12" t="str">
        <x:v>Reusable.</x:v>
      </x:c>
    </x:row>
    <x:row r="6">
      <x:c r="A6" s="12" t="str">
        <x:v>Shared</x:v>
      </x:c>
      <x:c r="B6" s="12" t="str">
        <x:v>ALL</x:v>
      </x:c>
      <x:c r="C6" s="12" t="str">
        <x:v>All activities</x:v>
      </x:c>
      <x:c r="D6" s="12" t="str">
        <x:v>supplies</x:v>
      </x:c>
      <x:c r="E6" s="12" t="str">
        <x:v>Masking tape and painter tape</x:v>
      </x:c>
      <x:c r="F6" s="12" t="str">
        <x:v>Lane marking, labels, and safe floor routes</x:v>
      </x:c>
      <x:c r="G6" s="12" t="str">
        <x:v>consumable</x:v>
      </x:c>
      <x:c r="H6" s="12" t="str">
        <x:v>maybe yes</x:v>
      </x:c>
      <x:c r="I6" s="12" t="str">
        <x:v>6 rolls</x:v>
      </x:c>
      <x:c r="J6" s="12" t="str">
        <x:v>1 spare roll</x:v>
      </x:c>
      <x:c r="K6" s="12" t="str">
        <x:v>masking tape multi pack</x:v>
      </x:c>
      <x:c r="L6" s="12" t="str">
        <x:v>https://www.amazon.com/s?k=masking+tape+multi+pack</x:v>
      </x:c>
      <x:c r="M6" s="12" t="str"/>
      <x:c r="N6" s="14" t="n">
        <x:v>18</x:v>
      </x:c>
      <x:c r="O6" s="12" t="str">
        <x:v>local estimate</x:v>
      </x:c>
      <x:c r="P6" s="12" t="str">
        <x:v>1</x:v>
      </x:c>
      <x:c r="Q6" s="14" t="n">
        <x:f>IFERROR(N6*P6,0)</x:f>
        <x:v>18</x:v>
      </x:c>
      <x:c r="R6" s="12" t="str">
        <x:v>required</x:v>
      </x:c>
      <x:c r="S6" s="12" t="str">
        <x:v>School supply closet</x:v>
      </x:c>
      <x:c r="T6" s="12" t="str">
        <x:v>yes</x:v>
      </x:c>
      <x:c r="U6" s="12" t="str">
        <x:v>Check floor compatibility before use.</x:v>
      </x:c>
      <x:c r="V6" s="12" t="str">
        <x:v>Tape bin</x:v>
      </x:c>
      <x:c r="W6" s="12" t="str">
        <x:v>2026-05-27</x:v>
      </x:c>
      <x:c r="X6" s="12" t="str">
        <x:v>planning line</x:v>
      </x:c>
      <x:c r="Y6" s="12" t="str">
        <x:v>Avoid residue.</x:v>
      </x:c>
    </x:row>
    <x:row r="7">
      <x:c r="A7" s="12" t="str">
        <x:v>Shared</x:v>
      </x:c>
      <x:c r="B7" s="12" t="str">
        <x:v>ALL</x:v>
      </x:c>
      <x:c r="C7" s="12" t="str">
        <x:v>All activities</x:v>
      </x:c>
      <x:c r="D7" s="12" t="str">
        <x:v>supplies</x:v>
      </x:c>
      <x:c r="E7" s="12" t="str">
        <x:v>Cardstock, copy paper, markers</x:v>
      </x:c>
      <x:c r="F7" s="12" t="str">
        <x:v>Cards, score slips, station signs, and builds</x:v>
      </x:c>
      <x:c r="G7" s="12" t="str">
        <x:v>consumable</x:v>
      </x:c>
      <x:c r="H7" s="12" t="str">
        <x:v>maybe yes</x:v>
      </x:c>
      <x:c r="I7" s="12" t="str">
        <x:v>500 to 800 pages plus markers</x:v>
      </x:c>
      <x:c r="J7" s="12" t="str">
        <x:v>15 percent print buffer</x:v>
      </x:c>
      <x:c r="K7" s="12" t="str">
        <x:v>cardstock 250 sheets and markers</x:v>
      </x:c>
      <x:c r="L7" s="12" t="str">
        <x:v>https://www.amazon.com/s?k=cardstock+250+pack+markers</x:v>
      </x:c>
      <x:c r="M7" s="12" t="str"/>
      <x:c r="N7" s="14" t="n">
        <x:v>35</x:v>
      </x:c>
      <x:c r="O7" s="12" t="str">
        <x:v>local estimate</x:v>
      </x:c>
      <x:c r="P7" s="12" t="str">
        <x:v>2</x:v>
      </x:c>
      <x:c r="Q7" s="14" t="n">
        <x:f>IFERROR(N7*P7,0)</x:f>
        <x:v>70</x:v>
      </x:c>
      <x:c r="R7" s="12" t="str">
        <x:v>required</x:v>
      </x:c>
      <x:c r="S7" s="12" t="str">
        <x:v>Local print shop or school supply</x:v>
      </x:c>
      <x:c r="T7" s="12" t="str">
        <x:v>yes</x:v>
      </x:c>
      <x:c r="U7" s="12" t="str"/>
      <x:c r="V7" s="12" t="str">
        <x:v>Print bin</x:v>
      </x:c>
      <x:c r="W7" s="12" t="str">
        <x:v>2026-05-27</x:v>
      </x:c>
      <x:c r="X7" s="12" t="str">
        <x:v>planning line</x:v>
      </x:c>
      <x:c r="Y7" s="12" t="str">
        <x:v>Printing lines separated in Printing sheet.</x:v>
      </x:c>
    </x:row>
  </x:sheetData>
  <x:conditionalFormatting sqref="O2:O7">
    <x:cfRule type="expression" dxfId="0" priority="1">
      <x:formula>O2="unverified"</x:formula>
    </x:cfRule>
    <x:cfRule type="expression" dxfId="1" priority="2">
      <x:formula>O2="search URL only"</x:formula>
    </x:cfRule>
  </x:conditionalFormatting>
  <x:conditionalFormatting sqref="R2:R7">
    <x:cfRule type="expression" dxfId="2" priority="3">
      <x:formula>R2="required"</x:formula>
    </x:cfRule>
    <x:cfRule type="expression" dxfId="3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c1d732aea149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From Trees to Tech</x:v>
      </x:c>
      <x:c r="B2" s="12" t="str">
        <x:v>TTT-01</x:v>
      </x:c>
      <x:c r="C2" s="12" t="str">
        <x:v>MudWatt Bioelectric League</x:v>
      </x:c>
      <x:c r="D2" s="12" t="str">
        <x:v>specialty kit</x:v>
      </x:c>
      <x:c r="E2" s="12" t="str">
        <x:v>MudWatt or equivalent microbial fuel cell kits</x:v>
      </x:c>
      <x:c r="F2" s="12" t="str">
        <x:v>Weeklong soil electricity anchor</x:v>
      </x:c>
      <x:c r="G2" s="12" t="str">
        <x:v>reusable plus consumable soil</x:v>
      </x:c>
      <x:c r="H2" s="12" t="str">
        <x:v>unknown</x:v>
      </x:c>
      <x:c r="I2" s="12" t="str">
        <x:v>6 kits preferred</x:v>
      </x:c>
      <x:c r="J2" s="12" t="str">
        <x:v>1 spare cell if possible</x:v>
      </x:c>
      <x:c r="K2" s="12" t="str">
        <x:v>MudWatt Grow Your Living Fuel Cell search</x:v>
      </x:c>
      <x:c r="L2" s="12" t="str">
        <x:v>https://www.amazon.com/s?k=MudWatt+STEM+kit</x:v>
      </x:c>
      <x:c r="M2" s="12" t="str"/>
      <x:c r="N2" s="14" t="n">
        <x:v>45</x:v>
      </x:c>
      <x:c r="O2" s="12" t="str">
        <x:v>unverified</x:v>
      </x:c>
      <x:c r="P2" s="12" t="str">
        <x:v>6</x:v>
      </x:c>
      <x:c r="Q2" s="14" t="n">
        <x:f>IFERROR(N2*P2,0)</x:f>
        <x:v>270</x:v>
      </x:c>
      <x:c r="R2" s="12" t="str">
        <x:v>required</x:v>
      </x:c>
      <x:c r="S2" s="12" t="str">
        <x:v>Borrow existing kits or purchase direct from Magical Microbes/Home Science Tools</x:v>
      </x:c>
      <x:c r="T2" s="12" t="str">
        <x:v>no</x:v>
      </x:c>
      <x:c r="U2" s="12" t="str">
        <x:v>Gloves and handwashing. No food near mud cells.</x:v>
      </x:c>
      <x:c r="V2" s="12" t="str">
        <x:v>MudWatt bin, store dry between uses</x:v>
      </x:c>
      <x:c r="W2" s="12" t="str">
        <x:v>2026-05-27</x:v>
      </x:c>
      <x:c r="X2" s="12" t="str">
        <x:v>https://www.magicalmicrobes.com/pages/how-mudwatt-works</x:v>
      </x:c>
      <x:c r="Y2" s="12" t="str">
        <x:v>Main procurement risk.</x:v>
      </x:c>
    </x:row>
    <x:row r="3">
      <x:c r="A3" s="12" t="str">
        <x:v>From Trees to Tech</x:v>
      </x:c>
      <x:c r="B3" s="12" t="str">
        <x:v>TTT-01</x:v>
      </x:c>
      <x:c r="C3" s="12" t="str">
        <x:v>MudWatt Bioelectric League</x:v>
      </x:c>
      <x:c r="D3" s="12" t="str">
        <x:v>consumable</x:v>
      </x:c>
      <x:c r="E3" s="12" t="str">
        <x:v>Fresh soil or mud samples</x:v>
      </x:c>
      <x:c r="F3" s="12" t="str">
        <x:v>Microbial fuel source</x:v>
      </x:c>
      <x:c r="G3" s="12" t="str">
        <x:v>consumable</x:v>
      </x:c>
      <x:c r="H3" s="12" t="str">
        <x:v>no</x:v>
      </x:c>
      <x:c r="I3" s="12" t="str">
        <x:v>6 sealed containers</x:v>
      </x:c>
      <x:c r="J3" s="12" t="str">
        <x:v>15 percent extra</x:v>
      </x:c>
      <x:c r="K3" s="12" t="str">
        <x:v>local soil or potting soil</x:v>
      </x:c>
      <x:c r="L3" s="12" t="str">
        <x:v>local purchase or collection</x:v>
      </x:c>
      <x:c r="M3" s="12" t="str"/>
      <x:c r="N3" s="14" t="str">
        <x:v>0</x:v>
      </x:c>
      <x:c r="O3" s="12" t="str">
        <x:v>local estimate</x:v>
      </x:c>
      <x:c r="P3" s="12" t="str">
        <x:v>1</x:v>
      </x:c>
      <x:c r="Q3" s="14" t="n">
        <x:f>IFERROR(N3*P3,0)</x:f>
        <x:v>0</x:v>
      </x:c>
      <x:c r="R3" s="12" t="str">
        <x:v>required</x:v>
      </x:c>
      <x:c r="S3" s="12" t="str">
        <x:v>Collect from approved campus site</x:v>
      </x:c>
      <x:c r="T3" s="12" t="str">
        <x:v>yes</x:v>
      </x:c>
      <x:c r="U3" s="12" t="str">
        <x:v>Avoid contaminated soil. Gloves required.</x:v>
      </x:c>
      <x:c r="V3" s="12" t="str">
        <x:v>Sealed soil tub</x:v>
      </x:c>
      <x:c r="W3" s="12" t="str">
        <x:v>2026-05-27</x:v>
      </x:c>
      <x:c r="X3" s="12" t="str">
        <x:v>https://www.magicalmicrobes.com/pages/how-mudwatt-works</x:v>
      </x:c>
      <x:c r="Y3" s="12" t="str">
        <x:v>Use approved campus collection only.</x:v>
      </x:c>
    </x:row>
    <x:row r="4">
      <x:c r="A4" s="12" t="str">
        <x:v>From Trees to Tech</x:v>
      </x:c>
      <x:c r="B4" s="12" t="str">
        <x:v>TTT-02</x:v>
      </x:c>
      <x:c r="C4" s="12" t="str">
        <x:v>Forest Sensor Sprint</x:v>
      </x:c>
      <x:c r="D4" s="12" t="str">
        <x:v>field measurement</x:v>
      </x:c>
      <x:c r="E4" s="12" t="str">
        <x:v>Mini hygrometer/thermometer units</x:v>
      </x:c>
      <x:c r="F4" s="12" t="str">
        <x:v>Microclimate data collection</x:v>
      </x:c>
      <x:c r="G4" s="12" t="str">
        <x:v>reusable</x:v>
      </x:c>
      <x:c r="H4" s="12" t="str">
        <x:v>no</x:v>
      </x:c>
      <x:c r="I4" s="12" t="str">
        <x:v>6 to 8 units</x:v>
      </x:c>
      <x:c r="J4" s="12" t="str">
        <x:v>1 spare</x:v>
      </x:c>
      <x:c r="K4" s="12" t="str">
        <x:v>mini digital hygrometer thermometer</x:v>
      </x:c>
      <x:c r="L4" s="12" t="str">
        <x:v>https://www.amazon.com/s?k=mini+digital+hygrometer+thermometer</x:v>
      </x:c>
      <x:c r="M4" s="12" t="str"/>
      <x:c r="N4" s="14" t="n">
        <x:v>12</x:v>
      </x:c>
      <x:c r="O4" s="12" t="str">
        <x:v>local estimate</x:v>
      </x:c>
      <x:c r="P4" s="12" t="str">
        <x:v>2</x:v>
      </x:c>
      <x:c r="Q4" s="14" t="n">
        <x:f>IFERROR(N4*P4,0)</x:f>
        <x:v>24</x:v>
      </x:c>
      <x:c r="R4" s="12" t="str">
        <x:v>recommended</x:v>
      </x:c>
      <x:c r="S4" s="12" t="str">
        <x:v>Borrow from lab</x:v>
      </x:c>
      <x:c r="T4" s="12" t="str">
        <x:v>yes</x:v>
      </x:c>
      <x:c r="U4" s="12" t="str"/>
      <x:c r="V4" s="12" t="str">
        <x:v>Sensor bin</x:v>
      </x:c>
      <x:c r="W4" s="12" t="str">
        <x:v>2026-05-27</x:v>
      </x:c>
      <x:c r="X4" s="12" t="str">
        <x:v>https://observer.globe.gov/do-globe-observer/trees</x:v>
      </x:c>
      <x:c r="Y4" s="12" t="str">
        <x:v>Use relative comparisons if readings drift.</x:v>
      </x:c>
    </x:row>
    <x:row r="5">
      <x:c r="A5" s="12" t="str">
        <x:v>From Trees to Tech</x:v>
      </x:c>
      <x:c r="B5" s="12" t="str">
        <x:v>TTT-02</x:v>
      </x:c>
      <x:c r="C5" s="12" t="str">
        <x:v>Forest Sensor Sprint</x:v>
      </x:c>
      <x:c r="D5" s="12" t="str">
        <x:v>field measurement</x:v>
      </x:c>
      <x:c r="E5" s="12" t="str">
        <x:v>3-in-1 soil moisture meter</x:v>
      </x:c>
      <x:c r="F5" s="12" t="str">
        <x:v>Optional soil comparison</x:v>
      </x:c>
      <x:c r="G5" s="12" t="str">
        <x:v>reusable</x:v>
      </x:c>
      <x:c r="H5" s="12" t="str">
        <x:v>no</x:v>
      </x:c>
      <x:c r="I5" s="12" t="str">
        <x:v>6 units</x:v>
      </x:c>
      <x:c r="J5" s="12" t="str">
        <x:v>0 to 1 spare</x:v>
      </x:c>
      <x:c r="K5" s="12" t="str">
        <x:v>SONKIR Soil pH Meter MS02 3-in-1</x:v>
      </x:c>
      <x:c r="L5" s="12" t="str">
        <x:v>https://www.amazon.com/dp/B07BR52P26</x:v>
      </x:c>
      <x:c r="M5" s="12" t="str">
        <x:v>B07BR52P26</x:v>
      </x:c>
      <x:c r="N5" s="14" t="n">
        <x:v>12</x:v>
      </x:c>
      <x:c r="O5" s="12" t="str">
        <x:v>unverified</x:v>
      </x:c>
      <x:c r="P5" s="12" t="str">
        <x:v>6</x:v>
      </x:c>
      <x:c r="Q5" s="14" t="n">
        <x:f>IFERROR(N5*P5,0)</x:f>
        <x:v>72</x:v>
      </x:c>
      <x:c r="R5" s="12" t="str">
        <x:v>recommended</x:v>
      </x:c>
      <x:c r="S5" s="12" t="str">
        <x:v>Moisture-only meter</x:v>
      </x:c>
      <x:c r="T5" s="12" t="str">
        <x:v>yes</x:v>
      </x:c>
      <x:c r="U5" s="12" t="str">
        <x:v>Probe tips are pointed.</x:v>
      </x:c>
      <x:c r="V5" s="12" t="str">
        <x:v>Wipe probes clean</x:v>
      </x:c>
      <x:c r="W5" s="12" t="str">
        <x:v>2026-05-27</x:v>
      </x:c>
      <x:c r="X5" s="12" t="str">
        <x:v>https://observer.globe.gov/do-globe-observer/trees</x:v>
      </x:c>
      <x:c r="Y5" s="12" t="str">
        <x:v>Price hidden or not confirmed.</x:v>
      </x:c>
    </x:row>
    <x:row r="6">
      <x:c r="A6" s="12" t="str">
        <x:v>From Trees to Tech</x:v>
      </x:c>
      <x:c r="B6" s="12" t="str">
        <x:v>TTT-02</x:v>
      </x:c>
      <x:c r="C6" s="12" t="str">
        <x:v>Forest Sensor Sprint</x:v>
      </x:c>
      <x:c r="D6" s="12" t="str">
        <x:v>printing</x:v>
      </x:c>
      <x:c r="E6" s="12" t="str">
        <x:v>Paper clinometer templates</x:v>
      </x:c>
      <x:c r="F6" s="12" t="str">
        <x:v>Tree height estimates</x:v>
      </x:c>
      <x:c r="G6" s="12" t="str">
        <x:v>consumable</x:v>
      </x:c>
      <x:c r="H6" s="12" t="str">
        <x:v>no</x:v>
      </x:c>
      <x:c r="I6" s="12" t="str">
        <x:v>30 sheets</x:v>
      </x:c>
      <x:c r="J6" s="12" t="str">
        <x:v>5 spare</x:v>
      </x:c>
      <x:c r="K6" s="12" t="str">
        <x:v>local print</x:v>
      </x:c>
      <x:c r="L6" s="12" t="str">
        <x:v>local purchase</x:v>
      </x:c>
      <x:c r="M6" s="12" t="str"/>
      <x:c r="N6" s="14" t="str">
        <x:v>0</x:v>
      </x:c>
      <x:c r="O6" s="12" t="str">
        <x:v>local estimate</x:v>
      </x:c>
      <x:c r="P6" s="12" t="str">
        <x:v>1</x:v>
      </x:c>
      <x:c r="Q6" s="14" t="n">
        <x:f>IFERROR(N6*P6,0)</x:f>
        <x:v>0</x:v>
      </x:c>
      <x:c r="R6" s="12" t="str">
        <x:v>required</x:v>
      </x:c>
      <x:c r="S6" s="12" t="str">
        <x:v>Hand-draw masters</x:v>
      </x:c>
      <x:c r="T6" s="12" t="str">
        <x:v>yes</x:v>
      </x:c>
      <x:c r="U6" s="12" t="str"/>
      <x:c r="V6" s="12" t="str">
        <x:v>Field folder</x:v>
      </x:c>
      <x:c r="W6" s="12" t="str">
        <x:v>2026-05-27</x:v>
      </x:c>
      <x:c r="X6" s="12" t="str">
        <x:v>https://observer.globe.gov/do-globe-observer/trees</x:v>
      </x:c>
      <x:c r="Y6" s="12" t="str">
        <x:v>Use GLOBE-style clinometer.</x:v>
      </x:c>
    </x:row>
    <x:row r="7">
      <x:c r="A7" s="12" t="str">
        <x:v>From Trees to Tech</x:v>
      </x:c>
      <x:c r="B7" s="12" t="str">
        <x:v>TTT-03</x:v>
      </x:c>
      <x:c r="C7" s="12" t="str">
        <x:v>Seed Dispersal Derby</x:v>
      </x:c>
      <x:c r="D7" s="12" t="str">
        <x:v>build supplies</x:v>
      </x:c>
      <x:c r="E7" s="12" t="str">
        <x:v>Paper, cardstock, paper clips, string</x:v>
      </x:c>
      <x:c r="F7" s="12" t="str">
        <x:v>Passive seed prototypes</x:v>
      </x:c>
      <x:c r="G7" s="12" t="str">
        <x:v>consumable</x:v>
      </x:c>
      <x:c r="H7" s="12" t="str">
        <x:v>maybe yes</x:v>
      </x:c>
      <x:c r="I7" s="12" t="str">
        <x:v>6 team kits</x:v>
      </x:c>
      <x:c r="J7" s="12" t="str">
        <x:v>15 percent extra</x:v>
      </x:c>
      <x:c r="K7" s="12" t="str">
        <x:v>cardstock paper clips string bundle</x:v>
      </x:c>
      <x:c r="L7" s="12" t="str">
        <x:v>https://www.amazon.com/s?k=cardstock+paper+clips+string</x:v>
      </x:c>
      <x:c r="M7" s="12" t="str"/>
      <x:c r="N7" s="14" t="n">
        <x:v>12</x:v>
      </x:c>
      <x:c r="O7" s="12" t="str">
        <x:v>local estimate</x:v>
      </x:c>
      <x:c r="P7" s="12" t="str">
        <x:v>1</x:v>
      </x:c>
      <x:c r="Q7" s="14" t="n">
        <x:f>IFERROR(N7*P7,0)</x:f>
        <x:v>12</x:v>
      </x:c>
      <x:c r="R7" s="12" t="str">
        <x:v>required</x:v>
      </x:c>
      <x:c r="S7" s="12" t="str">
        <x:v>Use existing office supplies</x:v>
      </x:c>
      <x:c r="T7" s="12" t="str">
        <x:v>yes</x:v>
      </x:c>
      <x:c r="U7" s="12" t="str">
        <x:v>No throwing at people. Low-power fan only.</x:v>
      </x:c>
      <x:c r="V7" s="12" t="str">
        <x:v>Seed bin</x:v>
      </x:c>
      <x:c r="W7" s="12" t="str">
        <x:v>2026-05-27</x:v>
      </x:c>
      <x:c r="X7" s="12" t="str">
        <x:v>https://www.sciencebuddies.org/stem-activities/gone-with-the-wind-plant-seed-dispersal</x:v>
      </x:c>
      <x:c r="Y7" s="12" t="str">
        <x:v>No paper airplane or rocket builds.</x:v>
      </x:c>
    </x:row>
    <x:row r="8">
      <x:c r="A8" s="12" t="str">
        <x:v>From Trees to Tech</x:v>
      </x:c>
      <x:c r="B8" s="12" t="str">
        <x:v>TTT-04</x:v>
      </x:c>
      <x:c r="C8" s="12" t="str">
        <x:v>Xylem Pipeline Relay</x:v>
      </x:c>
      <x:c r="D8" s="12" t="str">
        <x:v>lab supplies</x:v>
      </x:c>
      <x:c r="E8" s="12" t="str">
        <x:v>Paper towels, cotton string, cups, trays</x:v>
      </x:c>
      <x:c r="F8" s="12" t="str">
        <x:v>Capillary transport race</x:v>
      </x:c>
      <x:c r="G8" s="12" t="str">
        <x:v>consumable</x:v>
      </x:c>
      <x:c r="H8" s="12" t="str">
        <x:v>maybe yes</x:v>
      </x:c>
      <x:c r="I8" s="12" t="str">
        <x:v>6 tray stations</x:v>
      </x:c>
      <x:c r="J8" s="12" t="str">
        <x:v>15 percent extra</x:v>
      </x:c>
      <x:c r="K8" s="12" t="str">
        <x:v>paper towels cotton string plastic cups trays</x:v>
      </x:c>
      <x:c r="L8" s="12" t="str">
        <x:v>https://www.amazon.com/s?k=paper+towels+cotton+string+plastic+cups+trays</x:v>
      </x:c>
      <x:c r="M8" s="12" t="str"/>
      <x:c r="N8" s="14" t="n">
        <x:v>18</x:v>
      </x:c>
      <x:c r="O8" s="12" t="str">
        <x:v>local estimate</x:v>
      </x:c>
      <x:c r="P8" s="12" t="str">
        <x:v>1</x:v>
      </x:c>
      <x:c r="Q8" s="14" t="n">
        <x:f>IFERROR(N8*P8,0)</x:f>
        <x:v>18</x:v>
      </x:c>
      <x:c r="R8" s="12" t="str">
        <x:v>required</x:v>
      </x:c>
      <x:c r="S8" s="12" t="str">
        <x:v>Dollar store or school stock</x:v>
      </x:c>
      <x:c r="T8" s="12" t="str">
        <x:v>yes</x:v>
      </x:c>
      <x:c r="U8" s="12" t="str">
        <x:v>Use trays. Wipe spills immediately.</x:v>
      </x:c>
      <x:c r="V8" s="12" t="str">
        <x:v>Water activity bin</x:v>
      </x:c>
      <x:c r="W8" s="12" t="str">
        <x:v>2026-05-27</x:v>
      </x:c>
      <x:c r="X8" s="12" t="str">
        <x:v>https://www.sciencebuddies.org/stem-activities/gone-with-the-wind-plant-seed-dispersal</x:v>
      </x:c>
      <x:c r="Y8" s="12" t="str">
        <x:v>Use washable dye only.</x:v>
      </x:c>
    </x:row>
    <x:row r="9">
      <x:c r="A9" s="12" t="str">
        <x:v>From Trees to Tech</x:v>
      </x:c>
      <x:c r="B9" s="12" t="str">
        <x:v>TTT-05</x:v>
      </x:c>
      <x:c r="C9" s="12" t="str">
        <x:v>Greenhouse Climate Controller Challenge</x:v>
      </x:c>
      <x:c r="D9" s="12" t="str">
        <x:v>printing</x:v>
      </x:c>
      <x:c r="E9" s="12" t="str">
        <x:v>Plant profile cards and control dial boards</x:v>
      </x:c>
      <x:c r="F9" s="12" t="str">
        <x:v>Greenhouse settings game</x:v>
      </x:c>
      <x:c r="G9" s="12" t="str">
        <x:v>reusable</x:v>
      </x:c>
      <x:c r="H9" s="12" t="str">
        <x:v>no</x:v>
      </x:c>
      <x:c r="I9" s="12" t="str">
        <x:v>6 laminated sets</x:v>
      </x:c>
      <x:c r="J9" s="12" t="str">
        <x:v>1 spare set</x:v>
      </x:c>
      <x:c r="K9" s="12" t="str">
        <x:v>local print and laminate</x:v>
      </x:c>
      <x:c r="L9" s="12" t="str">
        <x:v>local purchase</x:v>
      </x:c>
      <x:c r="M9" s="12" t="str"/>
      <x:c r="N9" s="14" t="str">
        <x:v>15</x:v>
      </x:c>
      <x:c r="O9" s="12" t="str">
        <x:v>local estimate</x:v>
      </x:c>
      <x:c r="P9" s="12" t="str">
        <x:v>1</x:v>
      </x:c>
      <x:c r="Q9" s="14" t="n">
        <x:f>IFERROR(N9*P9,0)</x:f>
        <x:v>15</x:v>
      </x:c>
      <x:c r="R9" s="12" t="str">
        <x:v>required</x:v>
      </x:c>
      <x:c r="S9" s="12" t="str">
        <x:v>Sheet protectors instead of lamination</x:v>
      </x:c>
      <x:c r="T9" s="12" t="str">
        <x:v>yes</x:v>
      </x:c>
      <x:c r="U9" s="12" t="str">
        <x:v>Stay on tour route. Do not touch restricted controls.</x:v>
      </x:c>
      <x:c r="V9" s="12" t="str">
        <x:v>Greenhouse folder</x:v>
      </x:c>
      <x:c r="W9" s="12" t="str">
        <x:v>2026-05-27</x:v>
      </x:c>
      <x:c r="X9" s="12" t="str">
        <x:v>https://ambler.temple.edu/campus-resources/greenhouse</x:v>
      </x:c>
      <x:c r="Y9" s="12" t="str">
        <x:v>Use actual tour evidence.</x:v>
      </x:c>
    </x:row>
    <x:row r="10">
      <x:c r="A10" s="12" t="str">
        <x:v>From Trees to Tech</x:v>
      </x:c>
      <x:c r="B10" s="12" t="str">
        <x:v>TTT-06</x:v>
      </x:c>
      <x:c r="C10" s="12" t="str">
        <x:v>Pinecone Weather Machine Challenge</x:v>
      </x:c>
      <x:c r="D10" s="12" t="str">
        <x:v>natural material</x:v>
      </x:c>
      <x:c r="E10" s="12" t="str">
        <x:v>Dry pine cones</x:v>
      </x:c>
      <x:c r="F10" s="12" t="str">
        <x:v>Humidity-responsive device</x:v>
      </x:c>
      <x:c r="G10" s="12" t="str">
        <x:v>reusable</x:v>
      </x:c>
      <x:c r="H10" s="12" t="str">
        <x:v>maybe no</x:v>
      </x:c>
      <x:c r="I10" s="12" t="str">
        <x:v>12 to 18 cones</x:v>
      </x:c>
      <x:c r="J10" s="12" t="str">
        <x:v>3 spare</x:v>
      </x:c>
      <x:c r="K10" s="12" t="str">
        <x:v>local nature collection</x:v>
      </x:c>
      <x:c r="L10" s="12" t="str">
        <x:v>local collection</x:v>
      </x:c>
      <x:c r="M10" s="12" t="str"/>
      <x:c r="N10" s="14" t="str">
        <x:v>0</x:v>
      </x:c>
      <x:c r="O10" s="12" t="str">
        <x:v>local estimate</x:v>
      </x:c>
      <x:c r="P10" s="12" t="str">
        <x:v>1</x:v>
      </x:c>
      <x:c r="Q10" s="14" t="n">
        <x:f>IFERROR(N10*P10,0)</x:f>
        <x:v>0</x:v>
      </x:c>
      <x:c r="R10" s="12" t="str">
        <x:v>recommended</x:v>
      </x:c>
      <x:c r="S10" s="12" t="str">
        <x:v>Ask grounds crew</x:v>
      </x:c>
      <x:c r="T10" s="12" t="str">
        <x:v>yes</x:v>
      </x:c>
      <x:c r="U10" s="12" t="str">
        <x:v>Inspect for insects, sap, and sharp edges.</x:v>
      </x:c>
      <x:c r="V10" s="12" t="str">
        <x:v>Dry natural-materials bin</x:v>
      </x:c>
      <x:c r="W10" s="12" t="str">
        <x:v>2026-05-27</x:v>
      </x:c>
      <x:c r="X10" s="12" t="str">
        <x:v>https://asknature.org/strategy/pine-cones-open-and-close-in-response-to-weather/</x:v>
      </x:c>
      <x:c r="Y10" s="12" t="str">
        <x:v>Dry before use.</x:v>
      </x:c>
    </x:row>
    <x:row r="11">
      <x:c r="A11" s="12" t="str">
        <x:v>From Trees to Tech</x:v>
      </x:c>
      <x:c r="B11" s="12" t="str">
        <x:v>TTT-06</x:v>
      </x:c>
      <x:c r="C11" s="12" t="str">
        <x:v>Pinecone Weather Machine Challenge</x:v>
      </x:c>
      <x:c r="D11" s="12" t="str">
        <x:v>supplies</x:v>
      </x:c>
      <x:c r="E11" s="12" t="str">
        <x:v>Spray bottles, index cards, skewers, rulers</x:v>
      </x:c>
      <x:c r="F11" s="12" t="str">
        <x:v>Weather machine build</x:v>
      </x:c>
      <x:c r="G11" s="12" t="str">
        <x:v>mixed</x:v>
      </x:c>
      <x:c r="H11" s="12" t="str">
        <x:v>maybe yes</x:v>
      </x:c>
      <x:c r="I11" s="12" t="str">
        <x:v>6 stations</x:v>
      </x:c>
      <x:c r="J11" s="12" t="str">
        <x:v>15 percent extra</x:v>
      </x:c>
      <x:c r="K11" s="12" t="str">
        <x:v>spray bottles index cards skewers rulers</x:v>
      </x:c>
      <x:c r="L11" s="12" t="str">
        <x:v>https://www.amazon.com/s?k=spray+bottles+index+cards+skewers+rulers</x:v>
      </x:c>
      <x:c r="M11" s="12" t="str"/>
      <x:c r="N11" s="14" t="n">
        <x:v>20</x:v>
      </x:c>
      <x:c r="O11" s="12" t="str">
        <x:v>local estimate</x:v>
      </x:c>
      <x:c r="P11" s="12" t="str">
        <x:v>1</x:v>
      </x:c>
      <x:c r="Q11" s="14" t="n">
        <x:f>IFERROR(N11*P11,0)</x:f>
        <x:v>20</x:v>
      </x:c>
      <x:c r="R11" s="12" t="str">
        <x:v>required</x:v>
      </x:c>
      <x:c r="S11" s="12" t="str">
        <x:v>Use existing classroom supplies</x:v>
      </x:c>
      <x:c r="T11" s="12" t="str">
        <x:v>yes</x:v>
      </x:c>
      <x:c r="U11" s="12" t="str">
        <x:v>Keep floors dry after spray.</x:v>
      </x:c>
      <x:c r="V11" s="12" t="str">
        <x:v>Weather machine bin</x:v>
      </x:c>
      <x:c r="W11" s="12" t="str">
        <x:v>2026-05-27</x:v>
      </x:c>
      <x:c r="X11" s="12" t="str">
        <x:v>https://asknature.org/strategy/pine-cones-open-and-close-in-response-to-weather/</x:v>
      </x:c>
      <x:c r="Y11" s="12" t="str">
        <x:v>Table-based.</x:v>
      </x:c>
    </x:row>
    <x:row r="12">
      <x:c r="A12" s="12" t="str">
        <x:v>From Trees to Tech</x:v>
      </x:c>
      <x:c r="B12" s="12" t="str">
        <x:v>TTT-07</x:v>
      </x:c>
      <x:c r="C12" s="12" t="str">
        <x:v>Pollinator Network Draft and Build</x:v>
      </x:c>
      <x:c r="D12" s="12" t="str">
        <x:v>printing</x:v>
      </x:c>
      <x:c r="E12" s="12" t="str">
        <x:v>Plant and pollinator card decks</x:v>
      </x:c>
      <x:c r="F12" s="12" t="str">
        <x:v>Pollinator habitat strategy game</x:v>
      </x:c>
      <x:c r="G12" s="12" t="str">
        <x:v>reusable</x:v>
      </x:c>
      <x:c r="H12" s="12" t="str">
        <x:v>no</x:v>
      </x:c>
      <x:c r="I12" s="12" t="str">
        <x:v>6 decks</x:v>
      </x:c>
      <x:c r="J12" s="12" t="str">
        <x:v>1 spare deck</x:v>
      </x:c>
      <x:c r="K12" s="12" t="str">
        <x:v>local print and laminate</x:v>
      </x:c>
      <x:c r="L12" s="12" t="str">
        <x:v>local purchase</x:v>
      </x:c>
      <x:c r="M12" s="12" t="str"/>
      <x:c r="N12" s="14" t="str">
        <x:v>25</x:v>
      </x:c>
      <x:c r="O12" s="12" t="str">
        <x:v>local estimate</x:v>
      </x:c>
      <x:c r="P12" s="12" t="str">
        <x:v>1</x:v>
      </x:c>
      <x:c r="Q12" s="14" t="n">
        <x:f>IFERROR(N12*P12,0)</x:f>
        <x:v>25</x:v>
      </x:c>
      <x:c r="R12" s="12" t="str">
        <x:v>required</x:v>
      </x:c>
      <x:c r="S12" s="12" t="str">
        <x:v>Sheet protectors</x:v>
      </x:c>
      <x:c r="T12" s="12" t="str">
        <x:v>yes</x:v>
      </x:c>
      <x:c r="U12" s="12" t="str">
        <x:v>No live insects.</x:v>
      </x:c>
      <x:c r="V12" s="12" t="str">
        <x:v>Pollinator folder</x:v>
      </x:c>
      <x:c r="W12" s="12" t="str">
        <x:v>2026-05-27</x:v>
      </x:c>
      <x:c r="X12" s="12" t="str">
        <x:v>https://www.usda.gov/farming-and-ranching/plants-and-crops/plant-breeding/pollinators</x:v>
      </x:c>
      <x:c r="Y12" s="12" t="str">
        <x:v>Print in color if possible.</x:v>
      </x:c>
    </x:row>
    <x:row r="13">
      <x:c r="A13" s="12" t="str">
        <x:v>From Trees to Tech</x:v>
      </x:c>
      <x:c r="B13" s="12" t="str">
        <x:v>TTT-08</x:v>
      </x:c>
      <x:c r="C13" s="12" t="str">
        <x:v>Arboretum Eco-Quest</x:v>
      </x:c>
      <x:c r="D13" s="12" t="str">
        <x:v>printing</x:v>
      </x:c>
      <x:c r="E13" s="12" t="str">
        <x:v>Clue cards, maps, evidence tokens</x:v>
      </x:c>
      <x:c r="F13" s="12" t="str">
        <x:v>Outdoor checkpoint challenge</x:v>
      </x:c>
      <x:c r="G13" s="12" t="str">
        <x:v>reusable</x:v>
      </x:c>
      <x:c r="H13" s="12" t="str">
        <x:v>no</x:v>
      </x:c>
      <x:c r="I13" s="12" t="str">
        <x:v>6 route packs</x:v>
      </x:c>
      <x:c r="J13" s="12" t="str">
        <x:v>1 spare pack</x:v>
      </x:c>
      <x:c r="K13" s="12" t="str">
        <x:v>local print and laminate</x:v>
      </x:c>
      <x:c r="L13" s="12" t="str">
        <x:v>local purchase</x:v>
      </x:c>
      <x:c r="M13" s="12" t="str"/>
      <x:c r="N13" s="14" t="str">
        <x:v>20</x:v>
      </x:c>
      <x:c r="O13" s="12" t="str">
        <x:v>local estimate</x:v>
      </x:c>
      <x:c r="P13" s="12" t="str">
        <x:v>1</x:v>
      </x:c>
      <x:c r="Q13" s="14" t="n">
        <x:f>IFERROR(N13*P13,0)</x:f>
        <x:v>20</x:v>
      </x:c>
      <x:c r="R13" s="12" t="str">
        <x:v>required</x:v>
      </x:c>
      <x:c r="S13" s="12" t="str">
        <x:v>Black and white route cards</x:v>
      </x:c>
      <x:c r="T13" s="12" t="str">
        <x:v>yes</x:v>
      </x:c>
      <x:c r="U13" s="12" t="str">
        <x:v>Buddy system. Approved route only.</x:v>
      </x:c>
      <x:c r="V13" s="12" t="str">
        <x:v>Arboretum folder</x:v>
      </x:c>
      <x:c r="W13" s="12" t="str">
        <x:v>2026-05-27</x:v>
      </x:c>
      <x:c r="X13" s="12" t="str">
        <x:v>https://observer.globe.gov/do-globe-observer/trees</x:v>
      </x:c>
      <x:c r="Y13" s="12" t="str">
        <x:v>Confirm route with host.</x:v>
      </x:c>
    </x:row>
    <x:row r="14">
      <x:c r="A14" s="12" t="str">
        <x:v>From Trees to Tech</x:v>
      </x:c>
      <x:c r="B14" s="12" t="str">
        <x:v>TTT-09</x:v>
      </x:c>
      <x:c r="C14" s="12" t="str">
        <x:v>Minecraft Tree World Resilience Cup</x:v>
      </x:c>
      <x:c r="D14" s="12" t="str">
        <x:v>software</x:v>
      </x:c>
      <x:c r="E14" s="12" t="str">
        <x:v>Minecraft Education devices and world template</x:v>
      </x:c>
      <x:c r="F14" s="12" t="str">
        <x:v>Digital ecosystem build</x:v>
      </x:c>
      <x:c r="G14" s="12" t="str">
        <x:v>reusable</x:v>
      </x:c>
      <x:c r="H14" s="12" t="str">
        <x:v>unknown</x:v>
      </x:c>
      <x:c r="I14" s="12" t="str">
        <x:v>6 devices plus projector</x:v>
      </x:c>
      <x:c r="J14" s="12" t="str">
        <x:v>0</x:v>
      </x:c>
      <x:c r="K14" s="12" t="str">
        <x:v>Minecraft Education licenses</x:v>
      </x:c>
      <x:c r="L14" s="12" t="str">
        <x:v>https://education.minecraft.net/en-us</x:v>
      </x:c>
      <x:c r="M14" s="12" t="str"/>
      <x:c r="N14" s="14" t="str">
        <x:v>0</x:v>
      </x:c>
      <x:c r="O14" s="12" t="str">
        <x:v>borrow</x:v>
      </x:c>
      <x:c r="P14" s="12" t="str">
        <x:v>0</x:v>
      </x:c>
      <x:c r="Q14" s="14" t="n">
        <x:f>IFERROR(N14*P14,0)</x:f>
        <x:v>0</x:v>
      </x:c>
      <x:c r="R14" s="12" t="str">
        <x:v>required</x:v>
      </x:c>
      <x:c r="S14" s="12" t="str">
        <x:v>Paper resilience design board</x:v>
      </x:c>
      <x:c r="T14" s="12" t="str">
        <x:v>yes</x:v>
      </x:c>
      <x:c r="U14" s="12" t="str">
        <x:v>Standard device use and login management.</x:v>
      </x:c>
      <x:c r="V14" s="12" t="str">
        <x:v>Digital kit</x:v>
      </x:c>
      <x:c r="W14" s="12" t="str">
        <x:v>2026-05-27</x:v>
      </x:c>
      <x:c r="X14" s="12" t="str">
        <x:v>https://education.minecraft.net/en-us/resources/science/biodiversity</x:v>
      </x:c>
      <x:c r="Y14" s="12" t="str">
        <x:v>Confirm licensing.</x:v>
      </x:c>
    </x:row>
    <x:row r="15">
      <x:c r="A15" s="12" t="str">
        <x:v>From Trees to Tech</x:v>
      </x:c>
      <x:c r="B15" s="12" t="str">
        <x:v>TTT-10</x:v>
      </x:c>
      <x:c r="C15" s="12" t="str">
        <x:v>Tree Ring Climate Detective Tournament</x:v>
      </x:c>
      <x:c r="D15" s="12" t="str">
        <x:v>printing</x:v>
      </x:c>
      <x:c r="E15" s="12" t="str">
        <x:v>Tree ring image cards and answer boards</x:v>
      </x:c>
      <x:c r="F15" s="12" t="str">
        <x:v>Climate proxy data tournament</x:v>
      </x:c>
      <x:c r="G15" s="12" t="str">
        <x:v>reusable</x:v>
      </x:c>
      <x:c r="H15" s="12" t="str">
        <x:v>no</x:v>
      </x:c>
      <x:c r="I15" s="12" t="str">
        <x:v>6 sets</x:v>
      </x:c>
      <x:c r="J15" s="12" t="str">
        <x:v>1 spare</x:v>
      </x:c>
      <x:c r="K15" s="12" t="str">
        <x:v>local print and laminate</x:v>
      </x:c>
      <x:c r="L15" s="12" t="str">
        <x:v>local purchase</x:v>
      </x:c>
      <x:c r="M15" s="12" t="str"/>
      <x:c r="N15" s="14" t="str">
        <x:v>20</x:v>
      </x:c>
      <x:c r="O15" s="12" t="str">
        <x:v>local estimate</x:v>
      </x:c>
      <x:c r="P15" s="12" t="str">
        <x:v>1</x:v>
      </x:c>
      <x:c r="Q15" s="14" t="n">
        <x:f>IFERROR(N15*P15,0)</x:f>
        <x:v>20</x:v>
      </x:c>
      <x:c r="R15" s="12" t="str">
        <x:v>required</x:v>
      </x:c>
      <x:c r="S15" s="12" t="str">
        <x:v>Wood cookies if already owned</x:v>
      </x:c>
      <x:c r="T15" s="12" t="str">
        <x:v>yes</x:v>
      </x:c>
      <x:c r="U15" s="12" t="str">
        <x:v>Inspect wood slices for splinters if used.</x:v>
      </x:c>
      <x:c r="V15" s="12" t="str">
        <x:v>Tree ring folder</x:v>
      </x:c>
      <x:c r="W15" s="12" t="str">
        <x:v>2026-05-27</x:v>
      </x:c>
      <x:c r="X15" s="12" t="str">
        <x:v>https://www.ncei.noaa.gov/products/paleoclimatology/tree-ring</x:v>
      </x:c>
      <x:c r="Y15" s="12" t="str">
        <x:v>Use printed images for safer reset.</x:v>
      </x:c>
    </x:row>
    <x:row r="16">
      <x:c r="A16" s="12" t="str">
        <x:v>From Trees to Tech</x:v>
      </x:c>
      <x:c r="B16" s="12" t="str">
        <x:v>TTT-11</x:v>
      </x:c>
      <x:c r="C16" s="12" t="str">
        <x:v>Lotus Leaf Surface Sprint</x:v>
      </x:c>
      <x:c r="D16" s="12" t="str">
        <x:v>lab supplies</x:v>
      </x:c>
      <x:c r="E16" s="12" t="str">
        <x:v>Pipettes, wax paper, sandpaper, ramps</x:v>
      </x:c>
      <x:c r="F16" s="12" t="str">
        <x:v>Hydrophobic surface tests</x:v>
      </x:c>
      <x:c r="G16" s="12" t="str">
        <x:v>mixed</x:v>
      </x:c>
      <x:c r="H16" s="12" t="str">
        <x:v>maybe no</x:v>
      </x:c>
      <x:c r="I16" s="12" t="str">
        <x:v>6 team sets</x:v>
      </x:c>
      <x:c r="J16" s="12" t="str">
        <x:v>15 percent extra</x:v>
      </x:c>
      <x:c r="K16" s="12" t="str">
        <x:v>transfer pipettes wax paper sandpaper</x:v>
      </x:c>
      <x:c r="L16" s="12" t="str">
        <x:v>https://www.amazon.com/s?k=transfer+pipettes+wax+paper+sandpaper</x:v>
      </x:c>
      <x:c r="M16" s="12" t="str"/>
      <x:c r="N16" s="14" t="n">
        <x:v>18</x:v>
      </x:c>
      <x:c r="O16" s="12" t="str">
        <x:v>local estimate</x:v>
      </x:c>
      <x:c r="P16" s="12" t="str">
        <x:v>1</x:v>
      </x:c>
      <x:c r="Q16" s="14" t="n">
        <x:f>IFERROR(N16*P16,0)</x:f>
        <x:v>18</x:v>
      </x:c>
      <x:c r="R16" s="12" t="str">
        <x:v>required</x:v>
      </x:c>
      <x:c r="S16" s="12" t="str">
        <x:v>Science stockroom</x:v>
      </x:c>
      <x:c r="T16" s="12" t="str">
        <x:v>yes</x:v>
      </x:c>
      <x:c r="U16" s="12" t="str">
        <x:v>Keep floors dry. Washable dirt proxy only.</x:v>
      </x:c>
      <x:c r="V16" s="12" t="str">
        <x:v>Surface sprint bin</x:v>
      </x:c>
      <x:c r="W16" s="12" t="str">
        <x:v>2026-05-27</x:v>
      </x:c>
      <x:c r="X16" s="12" t="str">
        <x:v>https://asknature.org/strategy/surface-allows-self-cleaning/</x:v>
      </x:c>
      <x:c r="Y16" s="12" t="str">
        <x:v>No major staining.</x:v>
      </x:c>
    </x:row>
    <x:row r="17">
      <x:c r="A17" s="12" t="str">
        <x:v>From Trees to Tech</x:v>
      </x:c>
      <x:c r="B17" s="12" t="str">
        <x:v>TTT-12</x:v>
      </x:c>
      <x:c r="C17" s="12" t="str">
        <x:v>Leaf Stomata Microscope Detective</x:v>
      </x:c>
      <x:c r="D17" s="12" t="str">
        <x:v>lab supplies</x:v>
      </x:c>
      <x:c r="E17" s="12" t="str">
        <x:v>Clear nail polish, tape, leaf samples</x:v>
      </x:c>
      <x:c r="F17" s="12" t="str">
        <x:v>Leaf peel microscopy detective activity</x:v>
      </x:c>
      <x:c r="G17" s="12" t="str">
        <x:v>consumable</x:v>
      </x:c>
      <x:c r="H17" s="12" t="str">
        <x:v>no</x:v>
      </x:c>
      <x:c r="I17" s="12" t="str">
        <x:v>6 team sets</x:v>
      </x:c>
      <x:c r="J17" s="12" t="str">
        <x:v>15 percent extra</x:v>
      </x:c>
      <x:c r="K17" s="12" t="str">
        <x:v>clear nail polish tape microscope slides</x:v>
      </x:c>
      <x:c r="L17" s="12" t="str">
        <x:v>https://www.amazon.com/s?k=clear+nail+polish+tape+microscope+slides</x:v>
      </x:c>
      <x:c r="M17" s="12" t="str"/>
      <x:c r="N17" s="14" t="n">
        <x:v>20</x:v>
      </x:c>
      <x:c r="O17" s="12" t="str">
        <x:v>local estimate</x:v>
      </x:c>
      <x:c r="P17" s="12" t="str">
        <x:v>1</x:v>
      </x:c>
      <x:c r="Q17" s="14" t="n">
        <x:f>IFERROR(N17*P17,0)</x:f>
        <x:v>20</x:v>
      </x:c>
      <x:c r="R17" s="12" t="str">
        <x:v>required</x:v>
      </x:c>
      <x:c r="S17" s="12" t="str">
        <x:v>Use phone macro lens and prepared peels</x:v>
      </x:c>
      <x:c r="T17" s="12" t="str">
        <x:v>yes</x:v>
      </x:c>
      <x:c r="U17" s="12" t="str">
        <x:v>Ventilation for nail polish. Gloves optional.</x:v>
      </x:c>
      <x:c r="V17" s="12" t="str">
        <x:v>Stomata bin</x:v>
      </x:c>
      <x:c r="W17" s="12" t="str">
        <x:v>2026-05-27</x:v>
      </x:c>
      <x:c r="X17" s="12" t="str">
        <x:v>https://observer.globe.gov/do-globe-observer/trees</x:v>
      </x:c>
      <x:c r="Y17" s="12" t="str">
        <x:v>Legacy-safe replacement.</x:v>
      </x:c>
    </x:row>
    <x:row r="18">
      <x:c r="A18" s="12" t="str">
        <x:v>From Trees to Tech</x:v>
      </x:c>
      <x:c r="B18" s="12" t="str">
        <x:v>TTT-12</x:v>
      </x:c>
      <x:c r="C18" s="12" t="str">
        <x:v>Leaf Stomata Microscope Detective</x:v>
      </x:c>
      <x:c r="D18" s="12" t="str">
        <x:v>equipment</x:v>
      </x:c>
      <x:c r="E18" s="12" t="str">
        <x:v>USB digital microscope or classroom microscopes</x:v>
      </x:c>
      <x:c r="F18" s="12" t="str">
        <x:v>View and count stomata</x:v>
      </x:c>
      <x:c r="G18" s="12" t="str">
        <x:v>reusable</x:v>
      </x:c>
      <x:c r="H18" s="12" t="str">
        <x:v>unknown</x:v>
      </x:c>
      <x:c r="I18" s="12" t="str">
        <x:v>2 to 6 scopes</x:v>
      </x:c>
      <x:c r="J18" s="12" t="str">
        <x:v>0</x:v>
      </x:c>
      <x:c r="K18" s="12" t="str">
        <x:v>USB digital microscope 1000x search</x:v>
      </x:c>
      <x:c r="L18" s="12" t="str">
        <x:v>https://www.amazon.com/s?k=usb+digital+microscope+1000x</x:v>
      </x:c>
      <x:c r="M18" s="12" t="str"/>
      <x:c r="N18" s="14" t="n">
        <x:v>35</x:v>
      </x:c>
      <x:c r="O18" s="12" t="str">
        <x:v>local estimate</x:v>
      </x:c>
      <x:c r="P18" s="12" t="str">
        <x:v>2</x:v>
      </x:c>
      <x:c r="Q18" s="14" t="n">
        <x:f>IFERROR(N18*P18,0)</x:f>
        <x:v>70</x:v>
      </x:c>
      <x:c r="R18" s="12" t="str">
        <x:v>recommended</x:v>
      </x:c>
      <x:c r="S18" s="12" t="str">
        <x:v>Borrow microscopes</x:v>
      </x:c>
      <x:c r="T18" s="12" t="str">
        <x:v>yes</x:v>
      </x:c>
      <x:c r="U18" s="12" t="str"/>
      <x:c r="V18" s="12" t="str">
        <x:v>Microscope case</x:v>
      </x:c>
      <x:c r="W18" s="12" t="str">
        <x:v>2026-05-27</x:v>
      </x:c>
      <x:c r="X18" s="12" t="str">
        <x:v>https://observer.globe.gov/do-globe-observer/trees</x:v>
      </x:c>
      <x:c r="Y18" s="12" t="str">
        <x:v>Borrow strongly preferred.</x:v>
      </x:c>
    </x:row>
  </x:sheetData>
  <x:conditionalFormatting sqref="O2:O18">
    <x:cfRule type="expression" dxfId="4" priority="1">
      <x:formula>O2="unverified"</x:formula>
    </x:cfRule>
    <x:cfRule type="expression" dxfId="5" priority="2">
      <x:formula>O2="search URL only"</x:formula>
    </x:cfRule>
  </x:conditionalFormatting>
  <x:conditionalFormatting sqref="R2:R18">
    <x:cfRule type="expression" dxfId="6" priority="3">
      <x:formula>R2="required"</x:formula>
    </x:cfRule>
    <x:cfRule type="expression" dxfId="7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dbe016cf8642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PY-STEM</x:v>
      </x:c>
      <x:c r="B2" s="12" t="str">
        <x:v>PYS-01</x:v>
      </x:c>
      <x:c r="C2" s="12" t="str">
        <x:v>Magnetic Capsule Maze Cup</x:v>
      </x:c>
      <x:c r="D2" s="12" t="str">
        <x:v>magnets</x:v>
      </x:c>
      <x:c r="E2" s="12" t="str">
        <x:v>JUNAN 2mm x 1mm rare earth disc magnets, 100 pack</x:v>
      </x:c>
      <x:c r="F2" s="12" t="str">
        <x:v>External magnetic control</x:v>
      </x:c>
      <x:c r="G2" s="12" t="str">
        <x:v>reusable</x:v>
      </x:c>
      <x:c r="H2" s="12" t="str">
        <x:v>no</x:v>
      </x:c>
      <x:c r="I2" s="12" t="str">
        <x:v>12 to 18 magnets</x:v>
      </x:c>
      <x:c r="J2" s="12" t="str">
        <x:v>15 percent extra</x:v>
      </x:c>
      <x:c r="K2" s="12" t="str">
        <x:v>JUNAN 2mm x 1mm Tiny Rare Earth Disc Magnets 100 Pack</x:v>
      </x:c>
      <x:c r="L2" s="12" t="str">
        <x:v>https://www.amazon.com/dp/B09V14FGQF</x:v>
      </x:c>
      <x:c r="M2" s="12" t="str">
        <x:v>B09V14FGQF</x:v>
      </x:c>
      <x:c r="N2" s="14" t="str">
        <x:v>6.99</x:v>
      </x:c>
      <x:c r="O2" s="12" t="str">
        <x:v>verified</x:v>
      </x:c>
      <x:c r="P2" s="12" t="str">
        <x:v>2</x:v>
      </x:c>
      <x:c r="Q2" s="14" t="n">
        <x:f>IFERROR(N2*P2,0)</x:f>
        <x:v>13.98</x:v>
      </x:c>
      <x:c r="R2" s="12" t="str">
        <x:v>required</x:v>
      </x:c>
      <x:c r="S2" s="12" t="str">
        <x:v>Teacher magnet stash</x:v>
      </x:c>
      <x:c r="T2" s="12" t="str">
        <x:v>no</x:v>
      </x:c>
      <x:c r="U2" s="12" t="str">
        <x:v>Choking hazard. Keep away from mouths, electronics, and medical implants.</x:v>
      </x:c>
      <x:c r="V2" s="12" t="str">
        <x:v>Magnet case</x:v>
      </x:c>
      <x:c r="W2" s="12" t="str">
        <x:v>2026-05-27</x:v>
      </x:c>
      <x:c r="X2" s="12" t="str">
        <x:v>https://www.sciencemuseumgroup.org.uk/learning/resources/magnetic-maze</x:v>
      </x:c>
      <x:c r="Y2" s="12" t="str">
        <x:v>Verified public Amazon price in current search.</x:v>
      </x:c>
    </x:row>
    <x:row r="3">
      <x:c r="A3" s="12" t="str">
        <x:v>PY-STEM</x:v>
      </x:c>
      <x:c r="B3" s="12" t="str">
        <x:v>PYS-01</x:v>
      </x:c>
      <x:c r="C3" s="12" t="str">
        <x:v>Magnetic Capsule Maze Cup</x:v>
      </x:c>
      <x:c r="D3" s="12" t="str">
        <x:v>magnets</x:v>
      </x:c>
      <x:c r="E3" s="12" t="str">
        <x:v>6mm x 1.5mm neodymium disc magnets, 100 pack</x:v>
      </x:c>
      <x:c r="F3" s="12" t="str">
        <x:v>Stronger external control option</x:v>
      </x:c>
      <x:c r="G3" s="12" t="str">
        <x:v>reusable</x:v>
      </x:c>
      <x:c r="H3" s="12" t="str">
        <x:v>no</x:v>
      </x:c>
      <x:c r="I3" s="12" t="str">
        <x:v>6 to 12 magnets</x:v>
      </x:c>
      <x:c r="J3" s="12" t="str">
        <x:v>15 percent extra</x:v>
      </x:c>
      <x:c r="K3" s="12" t="str">
        <x:v>Small Neodymium Disc Magnets 6x1.5mm 100 Pack</x:v>
      </x:c>
      <x:c r="L3" s="12" t="str">
        <x:v>https://www.amazon.com/dp/B0BV6P6YYS</x:v>
      </x:c>
      <x:c r="M3" s="12" t="str">
        <x:v>B0BV6P6YYS</x:v>
      </x:c>
      <x:c r="N3" s="14" t="str">
        <x:v>19.49</x:v>
      </x:c>
      <x:c r="O3" s="12" t="str">
        <x:v>verified</x:v>
      </x:c>
      <x:c r="P3" s="12" t="str">
        <x:v>1</x:v>
      </x:c>
      <x:c r="Q3" s="14" t="n">
        <x:f>IFERROR(N3*P3,0)</x:f>
        <x:v>19.49</x:v>
      </x:c>
      <x:c r="R3" s="12" t="str">
        <x:v>recommended</x:v>
      </x:c>
      <x:c r="S3" s="12" t="str">
        <x:v>Ferrite magnets if strong enough</x:v>
      </x:c>
      <x:c r="T3" s="12" t="str">
        <x:v>no</x:v>
      </x:c>
      <x:c r="U3" s="12" t="str">
        <x:v>Choking hazard. Count in and out.</x:v>
      </x:c>
      <x:c r="V3" s="12" t="str">
        <x:v>Magnet case</x:v>
      </x:c>
      <x:c r="W3" s="12" t="str">
        <x:v>2026-05-27</x:v>
      </x:c>
      <x:c r="X3" s="12" t="str">
        <x:v>https://www.sciencemuseumgroup.org.uk/learning/resources/magnetic-maze</x:v>
      </x:c>
      <x:c r="Y3" s="12" t="str">
        <x:v>Verified public Amazon price in current search.</x:v>
      </x:c>
    </x:row>
    <x:row r="4">
      <x:c r="A4" s="12" t="str">
        <x:v>PY-STEM</x:v>
      </x:c>
      <x:c r="B4" s="12" t="str">
        <x:v>PYS-01</x:v>
      </x:c>
      <x:c r="C4" s="12" t="str">
        <x:v>Magnetic Capsule Maze Cup</x:v>
      </x:c>
      <x:c r="D4" s="12" t="str">
        <x:v>printing/build</x:v>
      </x:c>
      <x:c r="E4" s="12" t="str">
        <x:v>Maze boards, barrier sheets, steel tokens</x:v>
      </x:c>
      <x:c r="F4" s="12" t="str">
        <x:v>Maze simulation</x:v>
      </x:c>
      <x:c r="G4" s="12" t="str">
        <x:v>reusable</x:v>
      </x:c>
      <x:c r="H4" s="12" t="str">
        <x:v>no</x:v>
      </x:c>
      <x:c r="I4" s="12" t="str">
        <x:v>6 boards</x:v>
      </x:c>
      <x:c r="J4" s="12" t="str">
        <x:v>1 spare</x:v>
      </x:c>
      <x:c r="K4" s="12" t="str">
        <x:v>local print and plastic sleeves</x:v>
      </x:c>
      <x:c r="L4" s="12" t="str">
        <x:v>local purchase</x:v>
      </x:c>
      <x:c r="M4" s="12" t="str"/>
      <x:c r="N4" s="14" t="str">
        <x:v>10</x:v>
      </x:c>
      <x:c r="O4" s="12" t="str">
        <x:v>local estimate</x:v>
      </x:c>
      <x:c r="P4" s="12" t="str">
        <x:v>1</x:v>
      </x:c>
      <x:c r="Q4" s="14" t="n">
        <x:f>IFERROR(N4*P4,0)</x:f>
        <x:v>10</x:v>
      </x:c>
      <x:c r="R4" s="12" t="str">
        <x:v>required</x:v>
      </x:c>
      <x:c r="S4" s="12" t="str">
        <x:v>Laminate paper mazes</x:v>
      </x:c>
      <x:c r="T4" s="12" t="str">
        <x:v>yes</x:v>
      </x:c>
      <x:c r="U4" s="12" t="str">
        <x:v>No magnets in pockets.</x:v>
      </x:c>
      <x:c r="V4" s="12" t="str">
        <x:v>Magnetic maze bin</x:v>
      </x:c>
      <x:c r="W4" s="12" t="str">
        <x:v>2026-05-27</x:v>
      </x:c>
      <x:c r="X4" s="12" t="str">
        <x:v>https://www.sciencemuseumgroup.org.uk/learning/resources/magnetic-maze</x:v>
      </x:c>
      <x:c r="Y4" s="12" t="str">
        <x:v>Table-based.</x:v>
      </x:c>
    </x:row>
    <x:row r="5">
      <x:c r="A5" s="12" t="str">
        <x:v>PY-STEM</x:v>
      </x:c>
      <x:c r="B5" s="12" t="str">
        <x:v>PYS-02</x:v>
      </x:c>
      <x:c r="C5" s="12" t="str">
        <x:v>Oobleck Armor Arena</x:v>
      </x:c>
      <x:c r="D5" s="12" t="str">
        <x:v>grocery</x:v>
      </x:c>
      <x:c r="E5" s="12" t="str">
        <x:v>Cornstarch and zip bags</x:v>
      </x:c>
      <x:c r="F5" s="12" t="str">
        <x:v>Non-Newtonian armor pads</x:v>
      </x:c>
      <x:c r="G5" s="12" t="str">
        <x:v>consumable</x:v>
      </x:c>
      <x:c r="H5" s="12" t="str">
        <x:v>no</x:v>
      </x:c>
      <x:c r="I5" s="12" t="str">
        <x:v>6 team stations</x:v>
      </x:c>
      <x:c r="J5" s="12" t="str">
        <x:v>15 percent extra</x:v>
      </x:c>
      <x:c r="K5" s="12" t="str">
        <x:v>cornstarch bulk and zip bags</x:v>
      </x:c>
      <x:c r="L5" s="12" t="str">
        <x:v>https://www.amazon.com/s?k=cornstarch+bulk+zip+bags</x:v>
      </x:c>
      <x:c r="M5" s="12" t="str"/>
      <x:c r="N5" s="14" t="n">
        <x:v>18</x:v>
      </x:c>
      <x:c r="O5" s="12" t="str">
        <x:v>local estimate</x:v>
      </x:c>
      <x:c r="P5" s="12" t="str">
        <x:v>1</x:v>
      </x:c>
      <x:c r="Q5" s="14" t="n">
        <x:f>IFERROR(N5*P5,0)</x:f>
        <x:v>18</x:v>
      </x:c>
      <x:c r="R5" s="12" t="str">
        <x:v>required</x:v>
      </x:c>
      <x:c r="S5" s="12" t="str">
        <x:v>Local grocery</x:v>
      </x:c>
      <x:c r="T5" s="12" t="str">
        <x:v>yes</x:v>
      </x:c>
      <x:c r="U5" s="12" t="str">
        <x:v>Corn allergy note. No eating. Double-bag.</x:v>
      </x:c>
      <x:c r="V5" s="12" t="str">
        <x:v>Oobleck bin</x:v>
      </x:c>
      <x:c r="W5" s="12" t="str">
        <x:v>2026-05-27</x:v>
      </x:c>
      <x:c r="X5" s="12" t="str">
        <x:v>https://www.sciencebuddies.org/stem-activities/oobleck-colloid</x:v>
      </x:c>
      <x:c r="Y5" s="12" t="str">
        <x:v>Clean immediately.</x:v>
      </x:c>
    </x:row>
    <x:row r="6">
      <x:c r="A6" s="12" t="str">
        <x:v>PY-STEM</x:v>
      </x:c>
      <x:c r="B6" s="12" t="str">
        <x:v>PYS-03</x:v>
      </x:c>
      <x:c r="C6" s="12" t="str">
        <x:v>Cardboard Automata Arcade</x:v>
      </x:c>
      <x:c r="D6" s="12" t="str">
        <x:v>build supplies</x:v>
      </x:c>
      <x:c r="E6" s="12" t="str">
        <x:v>Cardboard, skewers, straws, craft sticks</x:v>
      </x:c>
      <x:c r="F6" s="12" t="str">
        <x:v>Cam and follower automata</x:v>
      </x:c>
      <x:c r="G6" s="12" t="str">
        <x:v>consumable</x:v>
      </x:c>
      <x:c r="H6" s="12" t="str">
        <x:v>maybe yes</x:v>
      </x:c>
      <x:c r="I6" s="12" t="str">
        <x:v>6 team kits</x:v>
      </x:c>
      <x:c r="J6" s="12" t="str">
        <x:v>15 percent extra</x:v>
      </x:c>
      <x:c r="K6" s="12" t="str">
        <x:v>craft sticks skewers straws bulk</x:v>
      </x:c>
      <x:c r="L6" s="12" t="str">
        <x:v>https://www.amazon.com/s?k=craft+sticks+skewers+straws+bulk</x:v>
      </x:c>
      <x:c r="M6" s="12" t="str"/>
      <x:c r="N6" s="14" t="n">
        <x:v>15</x:v>
      </x:c>
      <x:c r="O6" s="12" t="str">
        <x:v>local estimate</x:v>
      </x:c>
      <x:c r="P6" s="12" t="str">
        <x:v>1</x:v>
      </x:c>
      <x:c r="Q6" s="14" t="n">
        <x:f>IFERROR(N6*P6,0)</x:f>
        <x:v>15</x:v>
      </x:c>
      <x:c r="R6" s="12" t="str">
        <x:v>required</x:v>
      </x:c>
      <x:c r="S6" s="12" t="str">
        <x:v>Reuse cardboard</x:v>
      </x:c>
      <x:c r="T6" s="12" t="str">
        <x:v>yes</x:v>
      </x:c>
      <x:c r="U6" s="12" t="str">
        <x:v>Hot glue staff-supervised.</x:v>
      </x:c>
      <x:c r="V6" s="12" t="str">
        <x:v>Automata bin</x:v>
      </x:c>
      <x:c r="W6" s="12" t="str">
        <x:v>2026-05-27</x:v>
      </x:c>
      <x:c r="X6" s="12" t="str">
        <x:v>https://www.exploratorium.edu/tinkering/projects/cardboard-automata</x:v>
      </x:c>
      <x:c r="Y6" s="12" t="str">
        <x:v>Prep sample cam.</x:v>
      </x:c>
    </x:row>
    <x:row r="7">
      <x:c r="A7" s="12" t="str">
        <x:v>PY-STEM</x:v>
      </x:c>
      <x:c r="B7" s="12" t="str">
        <x:v>PYS-04</x:v>
      </x:c>
      <x:c r="C7" s="12" t="str">
        <x:v>Stethoscope Sprint and Recovery Challenge</x:v>
      </x:c>
      <x:c r="D7" s="12" t="str">
        <x:v>tubing/funnels</x:v>
      </x:c>
      <x:c r="E7" s="12" t="str">
        <x:v>Plastic funnels and flexible tubing</x:v>
      </x:c>
      <x:c r="F7" s="12" t="str">
        <x:v>Homemade stethoscope</x:v>
      </x:c>
      <x:c r="G7" s="12" t="str">
        <x:v>reusable</x:v>
      </x:c>
      <x:c r="H7" s="12" t="str">
        <x:v>maybe no</x:v>
      </x:c>
      <x:c r="I7" s="12" t="str">
        <x:v>6 to 12 funnels, 30 ft tubing</x:v>
      </x:c>
      <x:c r="J7" s="12" t="str">
        <x:v>15 percent extra</x:v>
      </x:c>
      <x:c r="K7" s="12" t="str">
        <x:v>Norpro Plastic Funnel Set of 3 and vinyl tubing</x:v>
      </x:c>
      <x:c r="L7" s="12" t="str">
        <x:v>https://www.amazon.com/dp/B000HJBFC6</x:v>
      </x:c>
      <x:c r="M7" s="12" t="str">
        <x:v>B000HJBFC6</x:v>
      </x:c>
      <x:c r="N7" s="14" t="n">
        <x:v>12</x:v>
      </x:c>
      <x:c r="O7" s="12" t="str">
        <x:v>unverified</x:v>
      </x:c>
      <x:c r="P7" s="12" t="str">
        <x:v>4</x:v>
      </x:c>
      <x:c r="Q7" s="14" t="n">
        <x:f>IFERROR(N7*P7,0)</x:f>
        <x:v>48</x:v>
      </x:c>
      <x:c r="R7" s="12" t="str">
        <x:v>recommended</x:v>
      </x:c>
      <x:c r="S7" s="12" t="str">
        <x:v>Dollar-store funnels and hardware-store tubing</x:v>
      </x:c>
      <x:c r="T7" s="12" t="str">
        <x:v>yes</x:v>
      </x:c>
      <x:c r="U7" s="12" t="str">
        <x:v>Sanitize shared parts. No forced heart-rate measurement.</x:v>
      </x:c>
      <x:c r="V7" s="12" t="str">
        <x:v>Biomedical bin</x:v>
      </x:c>
      <x:c r="W7" s="12" t="str">
        <x:v>2026-05-27</x:v>
      </x:c>
      <x:c r="X7" s="12" t="str">
        <x:v>https://www.sciencebuddies.org/stem-activities/make-stethoscope</x:v>
      </x:c>
      <x:c r="Y7" s="12" t="str">
        <x:v>Price hidden or not confirmed.</x:v>
      </x:c>
    </x:row>
    <x:row r="8">
      <x:c r="A8" s="12" t="str">
        <x:v>PY-STEM</x:v>
      </x:c>
      <x:c r="B8" s="12" t="str">
        <x:v>PYS-04</x:v>
      </x:c>
      <x:c r="C8" s="12" t="str">
        <x:v>Stethoscope Sprint and Recovery Challenge</x:v>
      </x:c>
      <x:c r="D8" s="12" t="str">
        <x:v>sanitation</x:v>
      </x:c>
      <x:c r="E8" s="12" t="str">
        <x:v>Sanitizing wipes</x:v>
      </x:c>
      <x:c r="F8" s="12" t="str">
        <x:v>Shared device cleaning</x:v>
      </x:c>
      <x:c r="G8" s="12" t="str">
        <x:v>consumable</x:v>
      </x:c>
      <x:c r="H8" s="12" t="str">
        <x:v>maybe yes</x:v>
      </x:c>
      <x:c r="I8" s="12" t="str">
        <x:v>1 tub</x:v>
      </x:c>
      <x:c r="J8" s="12" t="str">
        <x:v>1 spare if available</x:v>
      </x:c>
      <x:c r="K8" s="12" t="str">
        <x:v>disinfecting wipes classroom</x:v>
      </x:c>
      <x:c r="L8" s="12" t="str">
        <x:v>https://www.amazon.com/s?k=disinfecting+wipes+classroom</x:v>
      </x:c>
      <x:c r="M8" s="12" t="str"/>
      <x:c r="N8" s="14" t="n">
        <x:v>8</x:v>
      </x:c>
      <x:c r="O8" s="12" t="str">
        <x:v>local estimate</x:v>
      </x:c>
      <x:c r="P8" s="12" t="str">
        <x:v>1</x:v>
      </x:c>
      <x:c r="Q8" s="14" t="n">
        <x:f>IFERROR(N8*P8,0)</x:f>
        <x:v>8</x:v>
      </x:c>
      <x:c r="R8" s="12" t="str">
        <x:v>required</x:v>
      </x:c>
      <x:c r="S8" s="12" t="str">
        <x:v>School nurse supply</x:v>
      </x:c>
      <x:c r="T8" s="12" t="str">
        <x:v>yes</x:v>
      </x:c>
      <x:c r="U8" s="12" t="str">
        <x:v>Follow site policy.</x:v>
      </x:c>
      <x:c r="V8" s="12" t="str">
        <x:v>Safety bin</x:v>
      </x:c>
      <x:c r="W8" s="12" t="str">
        <x:v>2026-05-27</x:v>
      </x:c>
      <x:c r="X8" s="12" t="str">
        <x:v>https://www.sciencebuddies.org/stem-activities/make-stethoscope</x:v>
      </x:c>
      <x:c r="Y8" s="12" t="str">
        <x:v>Safety-critical.</x:v>
      </x:c>
    </x:row>
    <x:row r="9">
      <x:c r="A9" s="12" t="str">
        <x:v>PY-STEM</x:v>
      </x:c>
      <x:c r="B9" s="12" t="str">
        <x:v>PYS-05</x:v>
      </x:c>
      <x:c r="C9" s="12" t="str">
        <x:v>Reaction Time Combine</x:v>
      </x:c>
      <x:c r="D9" s="12" t="str">
        <x:v>gym supplies</x:v>
      </x:c>
      <x:c r="E9" s="12" t="str">
        <x:v>Meter sticks, cones, score sheets</x:v>
      </x:c>
      <x:c r="F9" s="12" t="str">
        <x:v>Reaction time stations</x:v>
      </x:c>
      <x:c r="G9" s="12" t="str">
        <x:v>reusable</x:v>
      </x:c>
      <x:c r="H9" s="12" t="str">
        <x:v>maybe yes</x:v>
      </x:c>
      <x:c r="I9" s="12" t="str">
        <x:v>6 stations</x:v>
      </x:c>
      <x:c r="J9" s="12" t="str">
        <x:v>1 spare meter stick</x:v>
      </x:c>
      <x:c r="K9" s="12" t="str">
        <x:v>meter sticks and gym cones</x:v>
      </x:c>
      <x:c r="L9" s="12" t="str">
        <x:v>https://www.amazon.com/s?k=meter+sticks+gym+cones</x:v>
      </x:c>
      <x:c r="M9" s="12" t="str"/>
      <x:c r="N9" s="14" t="n">
        <x:v>10</x:v>
      </x:c>
      <x:c r="O9" s="12" t="str">
        <x:v>local estimate</x:v>
      </x:c>
      <x:c r="P9" s="12" t="str">
        <x:v>1</x:v>
      </x:c>
      <x:c r="Q9" s="14" t="n">
        <x:f>IFERROR(N9*P9,0)</x:f>
        <x:v>10</x:v>
      </x:c>
      <x:c r="R9" s="12" t="str">
        <x:v>recommended</x:v>
      </x:c>
      <x:c r="S9" s="12" t="str">
        <x:v>Borrow from PE/science</x:v>
      </x:c>
      <x:c r="T9" s="12" t="str">
        <x:v>yes</x:v>
      </x:c>
      <x:c r="U9" s="12" t="str">
        <x:v>No sprint collisions. Clear lanes.</x:v>
      </x:c>
      <x:c r="V9" s="12" t="str">
        <x:v>Gym bin</x:v>
      </x:c>
      <x:c r="W9" s="12" t="str">
        <x:v>2026-05-27</x:v>
      </x:c>
      <x:c r="X9" s="12" t="str">
        <x:v>https://www.sciencebuddies.org/stem-activities/think-fast-measure-your-reaction-time</x:v>
      </x:c>
      <x:c r="Y9" s="12" t="str">
        <x:v>Can be fully seated.</x:v>
      </x:c>
    </x:row>
    <x:row r="10">
      <x:c r="A10" s="12" t="str">
        <x:v>PY-STEM</x:v>
      </x:c>
      <x:c r="B10" s="12" t="str">
        <x:v>PYS-06</x:v>
      </x:c>
      <x:c r="C10" s="12" t="str">
        <x:v>SONAR Slinky Showdown</x:v>
      </x:c>
      <x:c r="D10" s="12" t="str">
        <x:v>waves tool</x:v>
      </x:c>
      <x:c r="E10" s="12" t="str">
        <x:v>Original Slinky Jr or metal slinkies</x:v>
      </x:c>
      <x:c r="F10" s="12" t="str">
        <x:v>Longitudinal wave modeling</x:v>
      </x:c>
      <x:c r="G10" s="12" t="str">
        <x:v>reusable</x:v>
      </x:c>
      <x:c r="H10" s="12" t="str">
        <x:v>maybe no</x:v>
      </x:c>
      <x:c r="I10" s="12" t="str">
        <x:v>4 to 6 slinkies</x:v>
      </x:c>
      <x:c r="J10" s="12" t="str">
        <x:v>1 spare</x:v>
      </x:c>
      <x:c r="K10" s="12" t="str">
        <x:v>Original Slinky Jr</x:v>
      </x:c>
      <x:c r="L10" s="12" t="str">
        <x:v>https://www.amazon.com/dp/B00000IZGI</x:v>
      </x:c>
      <x:c r="M10" s="12" t="str">
        <x:v>B00000IZGI</x:v>
      </x:c>
      <x:c r="N10" s="14" t="n">
        <x:v>6</x:v>
      </x:c>
      <x:c r="O10" s="12" t="str">
        <x:v>unverified</x:v>
      </x:c>
      <x:c r="P10" s="12" t="str">
        <x:v>6</x:v>
      </x:c>
      <x:c r="Q10" s="14" t="n">
        <x:f>IFERROR(N10*P10,0)</x:f>
        <x:v>36</x:v>
      </x:c>
      <x:c r="R10" s="12" t="str">
        <x:v>recommended</x:v>
      </x:c>
      <x:c r="S10" s="12" t="str">
        <x:v>Borrow from toy/science closet</x:v>
      </x:c>
      <x:c r="T10" s="12" t="str">
        <x:v>yes</x:v>
      </x:c>
      <x:c r="U10" s="12" t="str">
        <x:v>Finger pinch warning. Do not overstretch.</x:v>
      </x:c>
      <x:c r="V10" s="12" t="str">
        <x:v>Wave bin</x:v>
      </x:c>
      <x:c r="W10" s="12" t="str">
        <x:v>2026-05-27</x:v>
      </x:c>
      <x:c r="X10" s="12" t="str">
        <x:v>https://classroom.iihs.org/sonar-slinky/</x:v>
      </x:c>
      <x:c r="Y10" s="12" t="str">
        <x:v>Price hidden or sign-in gated.</x:v>
      </x:c>
    </x:row>
    <x:row r="11">
      <x:c r="A11" s="12" t="str">
        <x:v>PY-STEM</x:v>
      </x:c>
      <x:c r="B11" s="12" t="str">
        <x:v>PYS-07</x:v>
      </x:c>
      <x:c r="C11" s="12" t="str">
        <x:v>Pinhole Precision Challenge</x:v>
      </x:c>
      <x:c r="D11" s="12" t="str">
        <x:v>optics build</x:v>
      </x:c>
      <x:c r="E11" s="12" t="str">
        <x:v>Cardstock, foil, tape, paper screens</x:v>
      </x:c>
      <x:c r="F11" s="12" t="str">
        <x:v>Pinhole image viewer</x:v>
      </x:c>
      <x:c r="G11" s="12" t="str">
        <x:v>consumable</x:v>
      </x:c>
      <x:c r="H11" s="12" t="str">
        <x:v>maybe yes</x:v>
      </x:c>
      <x:c r="I11" s="12" t="str">
        <x:v>6 team kits</x:v>
      </x:c>
      <x:c r="J11" s="12" t="str">
        <x:v>15 percent extra</x:v>
      </x:c>
      <x:c r="K11" s="12" t="str">
        <x:v>aluminum foil cardstock tape</x:v>
      </x:c>
      <x:c r="L11" s="12" t="str">
        <x:v>https://www.amazon.com/s?k=aluminum+foil+cardstock+tape</x:v>
      </x:c>
      <x:c r="M11" s="12" t="str"/>
      <x:c r="N11" s="14" t="n">
        <x:v>8</x:v>
      </x:c>
      <x:c r="O11" s="12" t="str">
        <x:v>local estimate</x:v>
      </x:c>
      <x:c r="P11" s="12" t="str">
        <x:v>1</x:v>
      </x:c>
      <x:c r="Q11" s="14" t="n">
        <x:f>IFERROR(N11*P11,0)</x:f>
        <x:v>8</x:v>
      </x:c>
      <x:c r="R11" s="12" t="str">
        <x:v>required</x:v>
      </x:c>
      <x:c r="S11" s="12" t="str">
        <x:v>Local grocery and school supply</x:v>
      </x:c>
      <x:c r="T11" s="12" t="str">
        <x:v>yes</x:v>
      </x:c>
      <x:c r="U11" s="12" t="str">
        <x:v>No direct sun viewing. Pins controlled by staff.</x:v>
      </x:c>
      <x:c r="V11" s="12" t="str">
        <x:v>Optics bin</x:v>
      </x:c>
      <x:c r="W11" s="12" t="str">
        <x:v>2026-05-27</x:v>
      </x:c>
      <x:c r="X11" s="12" t="str">
        <x:v>https://www.exploratorium.edu/snacks/personal-pinhole-theater</x:v>
      </x:c>
      <x:c r="Y11" s="12" t="str">
        <x:v>Indoor light source works.</x:v>
      </x:c>
    </x:row>
    <x:row r="12">
      <x:c r="A12" s="12" t="str">
        <x:v>PY-STEM</x:v>
      </x:c>
      <x:c r="B12" s="12" t="str">
        <x:v>PYS-08</x:v>
      </x:c>
      <x:c r="C12" s="12" t="str">
        <x:v>Low-Ropes Force Map Relay</x:v>
      </x:c>
      <x:c r="D12" s="12" t="str">
        <x:v>printing</x:v>
      </x:c>
      <x:c r="E12" s="12" t="str">
        <x:v>Force-map cards and clipboards</x:v>
      </x:c>
      <x:c r="F12" s="12" t="str">
        <x:v>Ropes-course physics wraparound</x:v>
      </x:c>
      <x:c r="G12" s="12" t="str">
        <x:v>reusable</x:v>
      </x:c>
      <x:c r="H12" s="12" t="str">
        <x:v>no</x:v>
      </x:c>
      <x:c r="I12" s="12" t="str">
        <x:v>6 team sets</x:v>
      </x:c>
      <x:c r="J12" s="12" t="str">
        <x:v>1 spare</x:v>
      </x:c>
      <x:c r="K12" s="12" t="str">
        <x:v>local print and laminate</x:v>
      </x:c>
      <x:c r="L12" s="12" t="str">
        <x:v>local purchase</x:v>
      </x:c>
      <x:c r="M12" s="12" t="str"/>
      <x:c r="N12" s="14" t="str">
        <x:v>10</x:v>
      </x:c>
      <x:c r="O12" s="12" t="str">
        <x:v>local estimate</x:v>
      </x:c>
      <x:c r="P12" s="12" t="str">
        <x:v>1</x:v>
      </x:c>
      <x:c r="Q12" s="14" t="n">
        <x:f>IFERROR(N12*P12,0)</x:f>
        <x:v>10</x:v>
      </x:c>
      <x:c r="R12" s="12" t="str">
        <x:v>required</x:v>
      </x:c>
      <x:c r="S12" s="12" t="str">
        <x:v>Black and white cards</x:v>
      </x:c>
      <x:c r="T12" s="12" t="str">
        <x:v>yes</x:v>
      </x:c>
      <x:c r="U12" s="12" t="str">
        <x:v>Host ropes rules override module.</x:v>
      </x:c>
      <x:c r="V12" s="12" t="str">
        <x:v>Ambler trip folder</x:v>
      </x:c>
      <x:c r="W12" s="12" t="str">
        <x:v>2026-05-27</x:v>
      </x:c>
      <x:c r="X12" s="12" t="str">
        <x:v>https://www.teachengineering.org/activities/view/wpi_empathy_activity3</x:v>
      </x:c>
      <x:c r="Y12" s="12" t="str">
        <x:v>Coordinate with Holly.</x:v>
      </x:c>
    </x:row>
    <x:row r="13">
      <x:c r="A13" s="12" t="str">
        <x:v>PY-STEM</x:v>
      </x:c>
      <x:c r="B13" s="12" t="str">
        <x:v>PYS-09</x:v>
      </x:c>
      <x:c r="C13" s="12" t="str">
        <x:v>Hovercraft Hockey Hackathon</x:v>
      </x:c>
      <x:c r="D13" s="12" t="str">
        <x:v>build supplies</x:v>
      </x:c>
      <x:c r="E13" s="12" t="str">
        <x:v>Balloons, pop-top caps, recycled CDs</x:v>
      </x:c>
      <x:c r="F13" s="12" t="str">
        <x:v>Mini hovercraft build</x:v>
      </x:c>
      <x:c r="G13" s="12" t="str">
        <x:v>mixed</x:v>
      </x:c>
      <x:c r="H13" s="12" t="str">
        <x:v>maybe no</x:v>
      </x:c>
      <x:c r="I13" s="12" t="str">
        <x:v>12 to 18 hovercraft kits</x:v>
      </x:c>
      <x:c r="J13" s="12" t="str">
        <x:v>15 percent extra</x:v>
      </x:c>
      <x:c r="K13" s="12" t="str">
        <x:v>latex balloons pop top bottle caps</x:v>
      </x:c>
      <x:c r="L13" s="12" t="str">
        <x:v>https://www.amazon.com/s?k=latex+balloons+pop+top+bottle+caps</x:v>
      </x:c>
      <x:c r="M13" s="12" t="str"/>
      <x:c r="N13" s="14" t="n">
        <x:v>20</x:v>
      </x:c>
      <x:c r="O13" s="12" t="str">
        <x:v>local estimate</x:v>
      </x:c>
      <x:c r="P13" s="12" t="str">
        <x:v>1</x:v>
      </x:c>
      <x:c r="Q13" s="14" t="n">
        <x:f>IFERROR(N13*P13,0)</x:f>
        <x:v>20</x:v>
      </x:c>
      <x:c r="R13" s="12" t="str">
        <x:v>required</x:v>
      </x:c>
      <x:c r="S13" s="12" t="str">
        <x:v>Local party store, collect caps/CDs</x:v>
      </x:c>
      <x:c r="T13" s="12" t="str">
        <x:v>yes</x:v>
      </x:c>
      <x:c r="U13" s="12" t="str">
        <x:v>Latex allergy note. No face-level launches.</x:v>
      </x:c>
      <x:c r="V13" s="12" t="str">
        <x:v>Hovercraft bin</x:v>
      </x:c>
      <x:c r="W13" s="12" t="str">
        <x:v>2026-05-27</x:v>
      </x:c>
      <x:c r="X13" s="12" t="str">
        <x:v>https://www.jpl.nasa.gov/edu/resources/lesson-plan/hovering-on-a-cushion-of-air/</x:v>
      </x:c>
      <x:c r="Y13" s="12" t="str">
        <x:v>Use nonlatex fallback if needed.</x:v>
      </x:c>
    </x:row>
    <x:row r="14">
      <x:c r="A14" s="12" t="str">
        <x:v>PY-STEM</x:v>
      </x:c>
      <x:c r="B14" s="12" t="str">
        <x:v>PYS-10</x:v>
      </x:c>
      <x:c r="C14" s="12" t="str">
        <x:v>Spectra Sleuth Showdown</x:v>
      </x:c>
      <x:c r="D14" s="12" t="str">
        <x:v>optics</x:v>
      </x:c>
      <x:c r="E14" s="12" t="str">
        <x:v>Diffraction glasses or gratings</x:v>
      </x:c>
      <x:c r="F14" s="12" t="str">
        <x:v>Safe spectra viewing</x:v>
      </x:c>
      <x:c r="G14" s="12" t="str">
        <x:v>reusable</x:v>
      </x:c>
      <x:c r="H14" s="12" t="str">
        <x:v>no</x:v>
      </x:c>
      <x:c r="I14" s="12" t="str">
        <x:v>30 to 50 pairs</x:v>
      </x:c>
      <x:c r="J14" s="12" t="str">
        <x:v>5 spare</x:v>
      </x:c>
      <x:c r="K14" s="12" t="str">
        <x:v>Fireworks Diffraction Glasses 51 total</x:v>
      </x:c>
      <x:c r="L14" s="12" t="str">
        <x:v>https://www.amazon.com/dp/B00JV06CV6</x:v>
      </x:c>
      <x:c r="M14" s="12" t="str">
        <x:v>B00JV06CV6</x:v>
      </x:c>
      <x:c r="N14" s="14" t="n">
        <x:v>30</x:v>
      </x:c>
      <x:c r="O14" s="12" t="str">
        <x:v>unverified</x:v>
      </x:c>
      <x:c r="P14" s="12" t="str">
        <x:v>1</x:v>
      </x:c>
      <x:c r="Q14" s="14" t="n">
        <x:f>IFERROR(N14*P14,0)</x:f>
        <x:v>30</x:v>
      </x:c>
      <x:c r="R14" s="12" t="str">
        <x:v>required</x:v>
      </x:c>
      <x:c r="S14" s="12" t="str">
        <x:v>Cut diffraction film strips</x:v>
      </x:c>
      <x:c r="T14" s="12" t="str">
        <x:v>maybe</x:v>
      </x:c>
      <x:c r="U14" s="12" t="str">
        <x:v>Novelty eyewear only. Not eye protection. No lasers.</x:v>
      </x:c>
      <x:c r="V14" s="12" t="str">
        <x:v>Spectra envelope</x:v>
      </x:c>
      <x:c r="W14" s="12" t="str">
        <x:v>2026-05-27</x:v>
      </x:c>
      <x:c r="X14" s="12" t="str">
        <x:v>https://www.sciencehistory.org/visit/exhibitions/history-of-fireworks/</x:v>
      </x:c>
      <x:c r="Y14" s="12" t="str">
        <x:v>No flame tests.</x:v>
      </x:c>
    </x:row>
    <x:row r="15">
      <x:c r="A15" s="12" t="str">
        <x:v>PY-STEM</x:v>
      </x:c>
      <x:c r="B15" s="12" t="str">
        <x:v>PYS-10</x:v>
      </x:c>
      <x:c r="C15" s="12" t="str">
        <x:v>Spectra Sleuth Showdown</x:v>
      </x:c>
      <x:c r="D15" s="12" t="str">
        <x:v>light sources</x:v>
      </x:c>
      <x:c r="E15" s="12" t="str">
        <x:v>LED and safe classroom light sources</x:v>
      </x:c>
      <x:c r="F15" s="12" t="str">
        <x:v>Mystery spectra stations</x:v>
      </x:c>
      <x:c r="G15" s="12" t="str">
        <x:v>reusable</x:v>
      </x:c>
      <x:c r="H15" s="12" t="str">
        <x:v>maybe yes</x:v>
      </x:c>
      <x:c r="I15" s="12" t="str">
        <x:v>6 stations</x:v>
      </x:c>
      <x:c r="J15" s="12" t="str">
        <x:v>1 spare</x:v>
      </x:c>
      <x:c r="K15" s="12" t="str">
        <x:v>LED flashlight color light set</x:v>
      </x:c>
      <x:c r="L15" s="12" t="str">
        <x:v>https://www.amazon.com/s?k=led+flashlight+color+light+set</x:v>
      </x:c>
      <x:c r="M15" s="12" t="str"/>
      <x:c r="N15" s="14" t="n">
        <x:v>20</x:v>
      </x:c>
      <x:c r="O15" s="12" t="str">
        <x:v>local estimate</x:v>
      </x:c>
      <x:c r="P15" s="12" t="str">
        <x:v>1</x:v>
      </x:c>
      <x:c r="Q15" s="14" t="n">
        <x:f>IFERROR(N15*P15,0)</x:f>
        <x:v>20</x:v>
      </x:c>
      <x:c r="R15" s="12" t="str">
        <x:v>recommended</x:v>
      </x:c>
      <x:c r="S15" s="12" t="str">
        <x:v>Borrow lamps/LEDs</x:v>
      </x:c>
      <x:c r="T15" s="12" t="str">
        <x:v>yes</x:v>
      </x:c>
      <x:c r="U15" s="12" t="str">
        <x:v>No lasers. Avoid hot bulbs.</x:v>
      </x:c>
      <x:c r="V15" s="12" t="str">
        <x:v>Spectra bin</x:v>
      </x:c>
      <x:c r="W15" s="12" t="str">
        <x:v>2026-05-27</x:v>
      </x:c>
      <x:c r="X15" s="12" t="str">
        <x:v>https://www.sciencehistory.org/visit/exhibitions/history-of-fireworks/</x:v>
      </x:c>
      <x:c r="Y15" s="12" t="str">
        <x:v>Use safe lights.</x:v>
      </x:c>
    </x:row>
    <x:row r="16">
      <x:c r="A16" s="12" t="str">
        <x:v>PY-STEM</x:v>
      </x:c>
      <x:c r="B16" s="12" t="str">
        <x:v>PYS-11</x:v>
      </x:c>
      <x:c r="C16" s="12" t="str">
        <x:v>BookBot Bin Logic Challenge</x:v>
      </x:c>
      <x:c r="D16" s="12" t="str">
        <x:v>printing/build</x:v>
      </x:c>
      <x:c r="E16" s="12" t="str">
        <x:v>Bin cards, address labels, order deck, route mat</x:v>
      </x:c>
      <x:c r="F16" s="12" t="str">
        <x:v>ASRS addressing simulation</x:v>
      </x:c>
      <x:c r="G16" s="12" t="str">
        <x:v>reusable</x:v>
      </x:c>
      <x:c r="H16" s="12" t="str">
        <x:v>no</x:v>
      </x:c>
      <x:c r="I16" s="12" t="str">
        <x:v>6 sets</x:v>
      </x:c>
      <x:c r="J16" s="12" t="str">
        <x:v>1 spare</x:v>
      </x:c>
      <x:c r="K16" s="12" t="str">
        <x:v>local print and laminate</x:v>
      </x:c>
      <x:c r="L16" s="12" t="str">
        <x:v>local purchase</x:v>
      </x:c>
      <x:c r="M16" s="12" t="str"/>
      <x:c r="N16" s="14" t="str">
        <x:v>20</x:v>
      </x:c>
      <x:c r="O16" s="12" t="str">
        <x:v>local estimate</x:v>
      </x:c>
      <x:c r="P16" s="12" t="str">
        <x:v>1</x:v>
      </x:c>
      <x:c r="Q16" s="14" t="n">
        <x:f>IFERROR(N16*P16,0)</x:f>
        <x:v>20</x:v>
      </x:c>
      <x:c r="R16" s="12" t="str">
        <x:v>required</x:v>
      </x:c>
      <x:c r="S16" s="12" t="str">
        <x:v>Index cards and painter tape</x:v>
      </x:c>
      <x:c r="T16" s="12" t="str">
        <x:v>yes</x:v>
      </x:c>
      <x:c r="U16" s="12" t="str">
        <x:v>Keep clear of actual library operations.</x:v>
      </x:c>
      <x:c r="V16" s="12" t="str">
        <x:v>BookBot folder</x:v>
      </x:c>
      <x:c r="W16" s="12" t="str">
        <x:v>2026-05-27</x:v>
      </x:c>
      <x:c r="X16" s="12" t="str">
        <x:v>https://library.temple.edu/spaces/charles-in-charge</x:v>
      </x:c>
      <x:c r="Y16" s="12" t="str">
        <x:v>Frame as bin addressing and search, not throughput.</x:v>
      </x:c>
    </x:row>
    <x:row r="17">
      <x:c r="A17" s="12" t="str">
        <x:v>PY-STEM</x:v>
      </x:c>
      <x:c r="B17" s="12" t="str">
        <x:v>PYS-12</x:v>
      </x:c>
      <x:c r="C17" s="12" t="str">
        <x:v>Accessibility Ramp Rescue Lab</x:v>
      </x:c>
      <x:c r="D17" s="12" t="str">
        <x:v>build supplies</x:v>
      </x:c>
      <x:c r="E17" s="12" t="str">
        <x:v>Foam board, dowels, binder clips, toy cart</x:v>
      </x:c>
      <x:c r="F17" s="12" t="str">
        <x:v>Portable ramp model</x:v>
      </x:c>
      <x:c r="G17" s="12" t="str">
        <x:v>mixed</x:v>
      </x:c>
      <x:c r="H17" s="12" t="str">
        <x:v>maybe no</x:v>
      </x:c>
      <x:c r="I17" s="12" t="str">
        <x:v>6 team kits</x:v>
      </x:c>
      <x:c r="J17" s="12" t="str">
        <x:v>15 percent extra</x:v>
      </x:c>
      <x:c r="K17" s="12" t="str">
        <x:v>foam board dowels binder clips toy cart</x:v>
      </x:c>
      <x:c r="L17" s="12" t="str">
        <x:v>https://www.amazon.com/s?k=foam+board+dowels+binder+clips+toy+cart</x:v>
      </x:c>
      <x:c r="M17" s="12" t="str"/>
      <x:c r="N17" s="14" t="n">
        <x:v>25</x:v>
      </x:c>
      <x:c r="O17" s="12" t="str">
        <x:v>local estimate</x:v>
      </x:c>
      <x:c r="P17" s="12" t="str">
        <x:v>1</x:v>
      </x:c>
      <x:c r="Q17" s="14" t="n">
        <x:f>IFERROR(N17*P17,0)</x:f>
        <x:v>25</x:v>
      </x:c>
      <x:c r="R17" s="12" t="str">
        <x:v>required</x:v>
      </x:c>
      <x:c r="S17" s="12" t="str">
        <x:v>Borrow toy cars, use cardboard</x:v>
      </x:c>
      <x:c r="T17" s="12" t="str">
        <x:v>yes</x:v>
      </x:c>
      <x:c r="U17" s="12" t="str">
        <x:v>Keep loads low. No standing on models.</x:v>
      </x:c>
      <x:c r="V17" s="12" t="str">
        <x:v>Accessibility bin</x:v>
      </x:c>
      <x:c r="W17" s="12" t="str">
        <x:v>2026-05-27</x:v>
      </x:c>
      <x:c r="X17" s="12" t="str">
        <x:v>https://www.teachengineering.org/activities/view/wpi_empathy_activity3</x:v>
      </x:c>
      <x:c r="Y17" s="12" t="str">
        <x:v>ADA-style slope model.</x:v>
      </x:c>
    </x:row>
  </x:sheetData>
  <x:conditionalFormatting sqref="O2:O17">
    <x:cfRule type="expression" dxfId="8" priority="1">
      <x:formula>O2="unverified"</x:formula>
    </x:cfRule>
    <x:cfRule type="expression" dxfId="9" priority="2">
      <x:formula>O2="search URL only"</x:formula>
    </x:cfRule>
  </x:conditionalFormatting>
  <x:conditionalFormatting sqref="R2:R17">
    <x:cfRule type="expression" dxfId="10" priority="3">
      <x:formula>R2="required"</x:formula>
    </x:cfRule>
    <x:cfRule type="expression" dxfId="11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4d1f7462b47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Shared</x:v>
      </x:c>
      <x:c r="B2" s="12" t="str">
        <x:v>Rewards</x:v>
      </x:c>
      <x:c r="C2" s="12" t="str">
        <x:v>Prize table</x:v>
      </x:c>
      <x:c r="D2" s="12" t="str">
        <x:v>prize</x:v>
      </x:c>
      <x:c r="E2" s="12" t="str">
        <x:v>Vinyl STEM stickers</x:v>
      </x:c>
      <x:c r="F2" s="12" t="str">
        <x:v>1 to 2 ticket prize</x:v>
      </x:c>
      <x:c r="G2" s="12" t="str">
        <x:v>consumable</x:v>
      </x:c>
      <x:c r="H2" s="12" t="str">
        <x:v>no</x:v>
      </x:c>
      <x:c r="I2" s="12" t="str">
        <x:v>75 to 100</x:v>
      </x:c>
      <x:c r="J2" s="12" t="str">
        <x:v>15 percent extra</x:v>
      </x:c>
      <x:c r="K2" s="12" t="str">
        <x:v>STEM stickers 100 pack</x:v>
      </x:c>
      <x:c r="L2" s="12" t="str">
        <x:v>https://www.amazon.com/s?k=stem+stickers+100+pack</x:v>
      </x:c>
      <x:c r="M2" s="12" t="str"/>
      <x:c r="N2" s="14" t="n">
        <x:v>10</x:v>
      </x:c>
      <x:c r="O2" s="12" t="str">
        <x:v>local estimate</x:v>
      </x:c>
      <x:c r="P2" s="12" t="str">
        <x:v>2</x:v>
      </x:c>
      <x:c r="Q2" s="14" t="n">
        <x:f>IFERROR(N2*P2,0)</x:f>
        <x:v>20</x:v>
      </x:c>
      <x:c r="R2" s="12" t="str">
        <x:v>prize</x:v>
      </x:c>
      <x:c r="S2" s="12" t="str">
        <x:v>Local school store</x:v>
      </x:c>
      <x:c r="T2" s="12" t="str">
        <x:v>yes</x:v>
      </x:c>
      <x:c r="U2" s="12" t="str"/>
      <x:c r="V2" s="12" t="str">
        <x:v>Prize bin</x:v>
      </x:c>
      <x:c r="W2" s="12" t="str">
        <x:v>2026-05-27</x:v>
      </x:c>
      <x:c r="X2" s="12" t="str">
        <x:v>planning line</x:v>
      </x:c>
      <x:c r="Y2" s="12" t="str">
        <x:v>Non-candy.</x:v>
      </x:c>
    </x:row>
    <x:row r="3">
      <x:c r="A3" s="12" t="str">
        <x:v>Shared</x:v>
      </x:c>
      <x:c r="B3" s="12" t="str">
        <x:v>Rewards</x:v>
      </x:c>
      <x:c r="C3" s="12" t="str">
        <x:v>Prize table</x:v>
      </x:c>
      <x:c r="D3" s="12" t="str">
        <x:v>prize</x:v>
      </x:c>
      <x:c r="E3" s="12" t="str">
        <x:v>Mechanical pencils and gel pens</x:v>
      </x:c>
      <x:c r="F3" s="12" t="str">
        <x:v>1 to 4 ticket prize</x:v>
      </x:c>
      <x:c r="G3" s="12" t="str">
        <x:v>consumable</x:v>
      </x:c>
      <x:c r="H3" s="12" t="str">
        <x:v>no</x:v>
      </x:c>
      <x:c r="I3" s="12" t="str">
        <x:v>50 to 75</x:v>
      </x:c>
      <x:c r="J3" s="12" t="str">
        <x:v>15 percent extra</x:v>
      </x:c>
      <x:c r="K3" s="12" t="str">
        <x:v>mechanical pencils gel pens bulk</x:v>
      </x:c>
      <x:c r="L3" s="12" t="str">
        <x:v>https://www.amazon.com/s?k=mechanical+pencils+gel+pens+bulk</x:v>
      </x:c>
      <x:c r="M3" s="12" t="str"/>
      <x:c r="N3" s="14" t="n">
        <x:v>12</x:v>
      </x:c>
      <x:c r="O3" s="12" t="str">
        <x:v>local estimate</x:v>
      </x:c>
      <x:c r="P3" s="12" t="str">
        <x:v>2</x:v>
      </x:c>
      <x:c r="Q3" s="14" t="n">
        <x:f>IFERROR(N3*P3,0)</x:f>
        <x:v>24</x:v>
      </x:c>
      <x:c r="R3" s="12" t="str">
        <x:v>prize</x:v>
      </x:c>
      <x:c r="S3" s="12" t="str">
        <x:v>School supply closet</x:v>
      </x:c>
      <x:c r="T3" s="12" t="str">
        <x:v>yes</x:v>
      </x:c>
      <x:c r="U3" s="12" t="str"/>
      <x:c r="V3" s="12" t="str">
        <x:v>Prize bin</x:v>
      </x:c>
      <x:c r="W3" s="12" t="str">
        <x:v>2026-05-27</x:v>
      </x:c>
      <x:c r="X3" s="12" t="str">
        <x:v>planning line</x:v>
      </x:c>
      <x:c r="Y3" s="12" t="str">
        <x:v>Useful prize.</x:v>
      </x:c>
    </x:row>
    <x:row r="4">
      <x:c r="A4" s="12" t="str">
        <x:v>Shared</x:v>
      </x:c>
      <x:c r="B4" s="12" t="str">
        <x:v>Rewards</x:v>
      </x:c>
      <x:c r="C4" s="12" t="str">
        <x:v>Prize table</x:v>
      </x:c>
      <x:c r="D4" s="12" t="str">
        <x:v>prize</x:v>
      </x:c>
      <x:c r="E4" s="12" t="str">
        <x:v>Mini notebooks</x:v>
      </x:c>
      <x:c r="F4" s="12" t="str">
        <x:v>2 to 4 ticket prize</x:v>
      </x:c>
      <x:c r="G4" s="12" t="str">
        <x:v>consumable</x:v>
      </x:c>
      <x:c r="H4" s="12" t="str">
        <x:v>no</x:v>
      </x:c>
      <x:c r="I4" s="12" t="str">
        <x:v>30</x:v>
      </x:c>
      <x:c r="J4" s="12" t="str">
        <x:v>15 percent extra</x:v>
      </x:c>
      <x:c r="K4" s="12" t="str">
        <x:v>mini notebooks bulk</x:v>
      </x:c>
      <x:c r="L4" s="12" t="str">
        <x:v>https://www.amazon.com/s?k=mini+notebooks+bulk</x:v>
      </x:c>
      <x:c r="M4" s="12" t="str"/>
      <x:c r="N4" s="14" t="n">
        <x:v>15</x:v>
      </x:c>
      <x:c r="O4" s="12" t="str">
        <x:v>local estimate</x:v>
      </x:c>
      <x:c r="P4" s="12" t="str">
        <x:v>1</x:v>
      </x:c>
      <x:c r="Q4" s="14" t="n">
        <x:f>IFERROR(N4*P4,0)</x:f>
        <x:v>15</x:v>
      </x:c>
      <x:c r="R4" s="12" t="str">
        <x:v>prize</x:v>
      </x:c>
      <x:c r="S4" s="12" t="str">
        <x:v>Local dollar store</x:v>
      </x:c>
      <x:c r="T4" s="12" t="str">
        <x:v>yes</x:v>
      </x:c>
      <x:c r="U4" s="12" t="str"/>
      <x:c r="V4" s="12" t="str">
        <x:v>Prize bin</x:v>
      </x:c>
      <x:c r="W4" s="12" t="str">
        <x:v>2026-05-27</x:v>
      </x:c>
      <x:c r="X4" s="12" t="str">
        <x:v>planning line</x:v>
      </x:c>
      <x:c r="Y4" s="12" t="str">
        <x:v>Non-candy.</x:v>
      </x:c>
    </x:row>
    <x:row r="5">
      <x:c r="A5" s="12" t="str">
        <x:v>Shared</x:v>
      </x:c>
      <x:c r="B5" s="12" t="str">
        <x:v>Rewards</x:v>
      </x:c>
      <x:c r="C5" s="12" t="str">
        <x:v>Prize table</x:v>
      </x:c>
      <x:c r="D5" s="12" t="str">
        <x:v>prize</x:v>
      </x:c>
      <x:c r="E5" s="12" t="str">
        <x:v>Fidget puzzles or mini desk puzzles</x:v>
      </x:c>
      <x:c r="F5" s="12" t="str">
        <x:v>4 to 7 ticket prize</x:v>
      </x:c>
      <x:c r="G5" s="12" t="str">
        <x:v>consumable</x:v>
      </x:c>
      <x:c r="H5" s="12" t="str">
        <x:v>no</x:v>
      </x:c>
      <x:c r="I5" s="12" t="str">
        <x:v>20 to 30</x:v>
      </x:c>
      <x:c r="J5" s="12" t="str">
        <x:v>15 percent extra</x:v>
      </x:c>
      <x:c r="K5" s="12" t="str">
        <x:v>mini desk puzzles bulk</x:v>
      </x:c>
      <x:c r="L5" s="12" t="str">
        <x:v>https://www.amazon.com/s?k=mini+desk+puzzles+bulk</x:v>
      </x:c>
      <x:c r="M5" s="12" t="str"/>
      <x:c r="N5" s="14" t="n">
        <x:v>18</x:v>
      </x:c>
      <x:c r="O5" s="12" t="str">
        <x:v>local estimate</x:v>
      </x:c>
      <x:c r="P5" s="12" t="str">
        <x:v>1</x:v>
      </x:c>
      <x:c r="Q5" s="14" t="n">
        <x:f>IFERROR(N5*P5,0)</x:f>
        <x:v>18</x:v>
      </x:c>
      <x:c r="R5" s="12" t="str">
        <x:v>prize</x:v>
      </x:c>
      <x:c r="S5" s="12" t="str">
        <x:v>Local store</x:v>
      </x:c>
      <x:c r="T5" s="12" t="str">
        <x:v>yes</x:v>
      </x:c>
      <x:c r="U5" s="12" t="str">
        <x:v>Avoid sharp or weapon-like toys.</x:v>
      </x:c>
      <x:c r="V5" s="12" t="str">
        <x:v>Prize bin</x:v>
      </x:c>
      <x:c r="W5" s="12" t="str">
        <x:v>2026-05-27</x:v>
      </x:c>
      <x:c r="X5" s="12" t="str">
        <x:v>planning line</x:v>
      </x:c>
      <x:c r="Y5" s="12" t="str">
        <x:v>Middle-school appropriate.</x:v>
      </x:c>
    </x:row>
    <x:row r="6">
      <x:c r="A6" s="12" t="str">
        <x:v>Shared</x:v>
      </x:c>
      <x:c r="B6" s="12" t="str">
        <x:v>Rewards</x:v>
      </x:c>
      <x:c r="C6" s="12" t="str">
        <x:v>Prize table</x:v>
      </x:c>
      <x:c r="D6" s="12" t="str">
        <x:v>prize</x:v>
      </x:c>
      <x:c r="E6" s="12" t="str">
        <x:v>Diffraction glasses, extra pairs</x:v>
      </x:c>
      <x:c r="F6" s="12" t="str">
        <x:v>Spectra tie-in and prize</x:v>
      </x:c>
      <x:c r="G6" s="12" t="str">
        <x:v>reusable</x:v>
      </x:c>
      <x:c r="H6" s="12" t="str">
        <x:v>no</x:v>
      </x:c>
      <x:c r="I6" s="12" t="str">
        <x:v>10 to 20</x:v>
      </x:c>
      <x:c r="J6" s="12" t="str">
        <x:v>5 spare</x:v>
      </x:c>
      <x:c r="K6" s="12" t="str">
        <x:v>Fireworks Diffraction Glasses 51 total</x:v>
      </x:c>
      <x:c r="L6" s="12" t="str">
        <x:v>https://www.amazon.com/dp/B00JV06CV6</x:v>
      </x:c>
      <x:c r="M6" s="12" t="str">
        <x:v>B00JV06CV6</x:v>
      </x:c>
      <x:c r="N6" s="14" t="n">
        <x:v>30</x:v>
      </x:c>
      <x:c r="O6" s="12" t="str">
        <x:v>unverified</x:v>
      </x:c>
      <x:c r="P6" s="12" t="str">
        <x:v>1</x:v>
      </x:c>
      <x:c r="Q6" s="14" t="n">
        <x:f>IFERROR(N6*P6,0)</x:f>
        <x:v>30</x:v>
      </x:c>
      <x:c r="R6" s="12" t="str">
        <x:v>prize</x:v>
      </x:c>
      <x:c r="S6" s="12" t="str">
        <x:v>Sticker bundles</x:v>
      </x:c>
      <x:c r="T6" s="12" t="str">
        <x:v>maybe</x:v>
      </x:c>
      <x:c r="U6" s="12" t="str">
        <x:v>Novelty eyewear only. Not PPE.</x:v>
      </x:c>
      <x:c r="V6" s="12" t="str">
        <x:v>Prize bin</x:v>
      </x:c>
      <x:c r="W6" s="12" t="str">
        <x:v>2026-05-27</x:v>
      </x:c>
      <x:c r="X6" s="12" t="str">
        <x:v>https://www.sciencehistory.org/visit/exhibitions/history-of-fireworks/</x:v>
      </x:c>
      <x:c r="Y6" s="12" t="str">
        <x:v>Shared with PYS-10 if enough pairs.</x:v>
      </x:c>
    </x:row>
  </x:sheetData>
  <x:conditionalFormatting sqref="O2:O6">
    <x:cfRule type="expression" dxfId="12" priority="1">
      <x:formula>O2="unverified"</x:formula>
    </x:cfRule>
    <x:cfRule type="expression" dxfId="13" priority="2">
      <x:formula>O2="search URL only"</x:formula>
    </x:cfRule>
  </x:conditionalFormatting>
  <x:conditionalFormatting sqref="R2:R6">
    <x:cfRule type="expression" dxfId="14" priority="3">
      <x:formula>R2="required"</x:formula>
    </x:cfRule>
    <x:cfRule type="expression" dxfId="15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2f422b4f5a4e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Shared</x:v>
      </x:c>
      <x:c r="B2" s="12" t="str">
        <x:v>ALL</x:v>
      </x:c>
      <x:c r="C2" s="12" t="str">
        <x:v>All activities</x:v>
      </x:c>
      <x:c r="D2" s="12" t="str">
        <x:v>PPE</x:v>
      </x:c>
      <x:c r="E2" s="12" t="str">
        <x:v>Safety goggles, class set</x:v>
      </x:c>
      <x:c r="F2" s="12" t="str">
        <x:v>Eye protection for splash, soil, plant peel, and oobleck activities</x:v>
      </x:c>
      <x:c r="G2" s="12" t="str">
        <x:v>reusable</x:v>
      </x:c>
      <x:c r="H2" s="12" t="str">
        <x:v>maybe yes</x:v>
      </x:c>
      <x:c r="I2" s="12" t="str">
        <x:v>30 goggles</x:v>
      </x:c>
      <x:c r="J2" s="12" t="str">
        <x:v>0 if existing</x:v>
      </x:c>
      <x:c r="K2" s="12" t="str">
        <x:v>classroom safety goggles 30 pack</x:v>
      </x:c>
      <x:c r="L2" s="12" t="str">
        <x:v>https://www.amazon.com/s?k=classroom+safety+goggles+30+pack</x:v>
      </x:c>
      <x:c r="M2" s="12" t="str"/>
      <x:c r="N2" s="14" t="n">
        <x:v>30</x:v>
      </x:c>
      <x:c r="O2" s="12" t="str">
        <x:v>local estimate</x:v>
      </x:c>
      <x:c r="P2" s="12" t="str">
        <x:v>1</x:v>
      </x:c>
      <x:c r="Q2" s="14" t="n">
        <x:f>IFERROR(N2*P2,0)</x:f>
        <x:v>30</x:v>
      </x:c>
      <x:c r="R2" s="12" t="str">
        <x:v>required</x:v>
      </x:c>
      <x:c r="S2" s="12" t="str">
        <x:v>Borrow from science stockroom</x:v>
      </x:c>
      <x:c r="T2" s="12" t="str">
        <x:v>yes</x:v>
      </x:c>
      <x:c r="U2" s="12" t="str">
        <x:v>Sanitize between users.</x:v>
      </x:c>
      <x:c r="V2" s="12" t="str">
        <x:v>PPE bin</x:v>
      </x:c>
      <x:c r="W2" s="12" t="str">
        <x:v>2026-05-27</x:v>
      </x:c>
      <x:c r="X2" s="12" t="str">
        <x:v>ACS/NSTA general lab safety</x:v>
      </x:c>
      <x:c r="Y2" s="12" t="str">
        <x:v>Safety-critical.</x:v>
      </x:c>
    </x:row>
    <x:row r="3">
      <x:c r="A3" s="12" t="str">
        <x:v>Shared</x:v>
      </x:c>
      <x:c r="B3" s="12" t="str">
        <x:v>ALL</x:v>
      </x:c>
      <x:c r="C3" s="12" t="str">
        <x:v>All activities</x:v>
      </x:c>
      <x:c r="D3" s="12" t="str">
        <x:v>PPE</x:v>
      </x:c>
      <x:c r="E3" s="12" t="str">
        <x:v>Nitrile gloves, 100 pack</x:v>
      </x:c>
      <x:c r="F3" s="12" t="str">
        <x:v>Soil, plant, oobleck, and cleanup handling</x:v>
      </x:c>
      <x:c r="G3" s="12" t="str">
        <x:v>consumable</x:v>
      </x:c>
      <x:c r="H3" s="12" t="str">
        <x:v>maybe yes</x:v>
      </x:c>
      <x:c r="I3" s="12" t="str">
        <x:v>2 boxes</x:v>
      </x:c>
      <x:c r="J3" s="12" t="str">
        <x:v>15 percent built into second box</x:v>
      </x:c>
      <x:c r="K3" s="12" t="str">
        <x:v>nitrile gloves medium 100 pack</x:v>
      </x:c>
      <x:c r="L3" s="12" t="str">
        <x:v>https://www.amazon.com/s?k=nitrile+gloves+medium+100+pack</x:v>
      </x:c>
      <x:c r="M3" s="12" t="str"/>
      <x:c r="N3" s="14" t="n">
        <x:v>12</x:v>
      </x:c>
      <x:c r="O3" s="12" t="str">
        <x:v>local estimate</x:v>
      </x:c>
      <x:c r="P3" s="12" t="str">
        <x:v>2</x:v>
      </x:c>
      <x:c r="Q3" s="14" t="n">
        <x:f>IFERROR(N3*P3,0)</x:f>
        <x:v>24</x:v>
      </x:c>
      <x:c r="R3" s="12" t="str">
        <x:v>required</x:v>
      </x:c>
      <x:c r="S3" s="12" t="str">
        <x:v>School stockroom</x:v>
      </x:c>
      <x:c r="T3" s="12" t="str">
        <x:v>yes</x:v>
      </x:c>
      <x:c r="U3" s="12" t="str">
        <x:v>Latex-free preferred.</x:v>
      </x:c>
      <x:c r="V3" s="12" t="str">
        <x:v>PPE bin</x:v>
      </x:c>
      <x:c r="W3" s="12" t="str">
        <x:v>2026-05-27</x:v>
      </x:c>
      <x:c r="X3" s="12" t="str">
        <x:v>ACS/NSTA general lab safety</x:v>
      </x:c>
      <x:c r="Y3" s="12" t="str">
        <x:v>Safety-critical.</x:v>
      </x:c>
    </x:row>
    <x:row r="4">
      <x:c r="A4" s="12" t="str">
        <x:v>Shared</x:v>
      </x:c>
      <x:c r="B4" s="12" t="str">
        <x:v>ALL</x:v>
      </x:c>
      <x:c r="C4" s="12" t="str">
        <x:v>All activities</x:v>
      </x:c>
      <x:c r="D4" s="12" t="str">
        <x:v>safety</x:v>
      </x:c>
      <x:c r="E4" s="12" t="str">
        <x:v>First aid kit and incident log binder</x:v>
      </x:c>
      <x:c r="F4" s="12" t="str">
        <x:v>Emergency response and documentation</x:v>
      </x:c>
      <x:c r="G4" s="12" t="str">
        <x:v>reusable</x:v>
      </x:c>
      <x:c r="H4" s="12" t="str">
        <x:v>maybe yes</x:v>
      </x:c>
      <x:c r="I4" s="12" t="str">
        <x:v>1</x:v>
      </x:c>
      <x:c r="J4" s="12" t="str">
        <x:v>0</x:v>
      </x:c>
      <x:c r="K4" s="12" t="str">
        <x:v>first aid kit classroom</x:v>
      </x:c>
      <x:c r="L4" s="12" t="str">
        <x:v>https://www.amazon.com/s?k=classroom+first+aid+kit</x:v>
      </x:c>
      <x:c r="M4" s="12" t="str"/>
      <x:c r="N4" s="14" t="n">
        <x:v>25</x:v>
      </x:c>
      <x:c r="O4" s="12" t="str">
        <x:v>local estimate</x:v>
      </x:c>
      <x:c r="P4" s="12" t="str">
        <x:v>1</x:v>
      </x:c>
      <x:c r="Q4" s="14" t="n">
        <x:f>IFERROR(N4*P4,0)</x:f>
        <x:v>25</x:v>
      </x:c>
      <x:c r="R4" s="12" t="str">
        <x:v>required</x:v>
      </x:c>
      <x:c r="S4" s="12" t="str">
        <x:v>School nurse / camp office</x:v>
      </x:c>
      <x:c r="T4" s="12" t="str">
        <x:v>yes</x:v>
      </x:c>
      <x:c r="U4" s="12" t="str">
        <x:v>Do not replace official site procedures.</x:v>
      </x:c>
      <x:c r="V4" s="12" t="str">
        <x:v>Safety cabinet</x:v>
      </x:c>
      <x:c r="W4" s="12" t="str">
        <x:v>2026-05-27</x:v>
      </x:c>
      <x:c r="X4" s="12" t="str">
        <x:v>planning line</x:v>
      </x:c>
      <x:c r="Y4" s="12" t="str">
        <x:v>Safety-critical.</x:v>
      </x:c>
    </x:row>
    <x:row r="5">
      <x:c r="A5" s="12" t="str">
        <x:v>Shared</x:v>
      </x:c>
      <x:c r="B5" s="12" t="str">
        <x:v>ALL</x:v>
      </x:c>
      <x:c r="C5" s="12" t="str">
        <x:v>Outdoor modules</x:v>
      </x:c>
      <x:c r="D5" s="12" t="str">
        <x:v>safety</x:v>
      </x:c>
      <x:c r="E5" s="12" t="str">
        <x:v>Sunscreen, water station, weather plan signs</x:v>
      </x:c>
      <x:c r="F5" s="12" t="str">
        <x:v>Outdoor safety support</x:v>
      </x:c>
      <x:c r="G5" s="12" t="str">
        <x:v>consumable</x:v>
      </x:c>
      <x:c r="H5" s="12" t="str">
        <x:v>maybe yes</x:v>
      </x:c>
      <x:c r="I5" s="12" t="str">
        <x:v>1 set</x:v>
      </x:c>
      <x:c r="J5" s="12" t="str">
        <x:v>extra water</x:v>
      </x:c>
      <x:c r="K5" s="12" t="str">
        <x:v>local purchase</x:v>
      </x:c>
      <x:c r="L5" s="12" t="str">
        <x:v>local purchase</x:v>
      </x:c>
      <x:c r="M5" s="12" t="str"/>
      <x:c r="N5" s="14" t="n">
        <x:v>25</x:v>
      </x:c>
      <x:c r="O5" s="12" t="str">
        <x:v>local estimate</x:v>
      </x:c>
      <x:c r="P5" s="12" t="str">
        <x:v>1</x:v>
      </x:c>
      <x:c r="Q5" s="14" t="n">
        <x:f>IFERROR(N5*P5,0)</x:f>
        <x:v>25</x:v>
      </x:c>
      <x:c r="R5" s="12" t="str">
        <x:v>required</x:v>
      </x:c>
      <x:c r="S5" s="12" t="str">
        <x:v>Camp office supply</x:v>
      </x:c>
      <x:c r="T5" s="12" t="str">
        <x:v>yes</x:v>
      </x:c>
      <x:c r="U5" s="12" t="str">
        <x:v>Allergy-sensitive sunscreen policy.</x:v>
      </x:c>
      <x:c r="V5" s="12" t="str">
        <x:v>Outdoor safety bin</x:v>
      </x:c>
      <x:c r="W5" s="12" t="str">
        <x:v>2026-05-27</x:v>
      </x:c>
      <x:c r="X5" s="12" t="str">
        <x:v>planning line</x:v>
      </x:c>
      <x:c r="Y5" s="12" t="str">
        <x:v>Confirm site policy.</x:v>
      </x:c>
    </x:row>
  </x:sheetData>
  <x:conditionalFormatting sqref="O2:O5">
    <x:cfRule type="expression" dxfId="16" priority="1">
      <x:formula>O2="unverified"</x:formula>
    </x:cfRule>
    <x:cfRule type="expression" dxfId="17" priority="2">
      <x:formula>O2="search URL only"</x:formula>
    </x:cfRule>
  </x:conditionalFormatting>
  <x:conditionalFormatting sqref="R2:R5">
    <x:cfRule type="expression" dxfId="18" priority="3">
      <x:formula>R2="required"</x:formula>
    </x:cfRule>
    <x:cfRule type="expression" dxfId="19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5a8a28359541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8" t="str">
        <x:v>Unit price</x:v>
      </x:c>
      <x:c r="O1" s="8" t="str">
        <x:v>Price verification status</x:v>
      </x:c>
      <x:c r="P1" s="8" t="str">
        <x:v>Quantity to buy</x:v>
      </x:c>
      <x:c r="Q1" s="8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Shared</x:v>
      </x:c>
      <x:c r="B2" s="12" t="str">
        <x:v>Printing</x:v>
      </x:c>
      <x:c r="C2" s="12" t="str">
        <x:v>All packets</x:v>
      </x:c>
      <x:c r="D2" s="12" t="str">
        <x:v>printing</x:v>
      </x:c>
      <x:c r="E2" s="12" t="str">
        <x:v>Student handout packet printing</x:v>
      </x:c>
      <x:c r="F2" s="12" t="str">
        <x:v>Camp handout packets and individual PDFs</x:v>
      </x:c>
      <x:c r="G2" s="12" t="str">
        <x:v>consumable</x:v>
      </x:c>
      <x:c r="H2" s="12" t="str">
        <x:v>no</x:v>
      </x:c>
      <x:c r="I2" s="12" t="str">
        <x:v>50 packets or as needed</x:v>
      </x:c>
      <x:c r="J2" s="12" t="str">
        <x:v>15 percent extra</x:v>
      </x:c>
      <x:c r="K2" s="12" t="str">
        <x:v>local print</x:v>
      </x:c>
      <x:c r="L2" s="12" t="str">
        <x:v>local purchase</x:v>
      </x:c>
      <x:c r="M2" s="12" t="str"/>
      <x:c r="N2" s="14" t="str">
        <x:v>75</x:v>
      </x:c>
      <x:c r="O2" s="12" t="str">
        <x:v>local estimate</x:v>
      </x:c>
      <x:c r="P2" s="12" t="str">
        <x:v>1</x:v>
      </x:c>
      <x:c r="Q2" s="14" t="n">
        <x:f>IFERROR(N2*P2,0)</x:f>
        <x:v>75</x:v>
      </x:c>
      <x:c r="R2" s="12" t="str">
        <x:v>required</x:v>
      </x:c>
      <x:c r="S2" s="12" t="str">
        <x:v>Black and white with spot color</x:v>
      </x:c>
      <x:c r="T2" s="12" t="str">
        <x:v>yes</x:v>
      </x:c>
      <x:c r="U2" s="12" t="str"/>
      <x:c r="V2" s="12" t="str">
        <x:v>Print folder</x:v>
      </x:c>
      <x:c r="W2" s="12" t="str">
        <x:v>2026-05-27</x:v>
      </x:c>
      <x:c r="X2" s="12" t="str">
        <x:v>planning line</x:v>
      </x:c>
      <x:c r="Y2" s="12" t="str">
        <x:v>Estimate only.</x:v>
      </x:c>
    </x:row>
    <x:row r="3">
      <x:c r="A3" s="12" t="str">
        <x:v>Shared</x:v>
      </x:c>
      <x:c r="B3" s="12" t="str">
        <x:v>Printing</x:v>
      </x:c>
      <x:c r="C3" s="12" t="str">
        <x:v>All signs</x:v>
      </x:c>
      <x:c r="D3" s="12" t="str">
        <x:v>printing</x:v>
      </x:c>
      <x:c r="E3" s="12" t="str">
        <x:v>Station signs, score slips, tokens, certificates</x:v>
      </x:c>
      <x:c r="F3" s="12" t="str">
        <x:v>Printable competition kit</x:v>
      </x:c>
      <x:c r="G3" s="12" t="str">
        <x:v>consumable</x:v>
      </x:c>
      <x:c r="H3" s="12" t="str">
        <x:v>no</x:v>
      </x:c>
      <x:c r="I3" s="12" t="str">
        <x:v>500 pages</x:v>
      </x:c>
      <x:c r="J3" s="12" t="str">
        <x:v>15 percent extra</x:v>
      </x:c>
      <x:c r="K3" s="12" t="str">
        <x:v>local print</x:v>
      </x:c>
      <x:c r="L3" s="12" t="str">
        <x:v>local purchase</x:v>
      </x:c>
      <x:c r="M3" s="12" t="str"/>
      <x:c r="N3" s="14" t="str">
        <x:v>60</x:v>
      </x:c>
      <x:c r="O3" s="12" t="str">
        <x:v>local estimate</x:v>
      </x:c>
      <x:c r="P3" s="12" t="str">
        <x:v>1</x:v>
      </x:c>
      <x:c r="Q3" s="14" t="n">
        <x:f>IFERROR(N3*P3,0)</x:f>
        <x:v>60</x:v>
      </x:c>
      <x:c r="R3" s="12" t="str">
        <x:v>required</x:v>
      </x:c>
      <x:c r="S3" s="12" t="str">
        <x:v>Use cardstock only for durable items</x:v>
      </x:c>
      <x:c r="T3" s="12" t="str">
        <x:v>yes</x:v>
      </x:c>
      <x:c r="U3" s="12" t="str"/>
      <x:c r="V3" s="12" t="str">
        <x:v>Print folder</x:v>
      </x:c>
      <x:c r="W3" s="12" t="str">
        <x:v>2026-05-27</x:v>
      </x:c>
      <x:c r="X3" s="12" t="str">
        <x:v>planning line</x:v>
      </x:c>
      <x:c r="Y3" s="12" t="str">
        <x:v>Estimate only.</x:v>
      </x:c>
    </x:row>
  </x:sheetData>
  <x:conditionalFormatting sqref="O2:O3">
    <x:cfRule type="expression" dxfId="20" priority="1">
      <x:formula>O2="unverified"</x:formula>
    </x:cfRule>
    <x:cfRule type="expression" dxfId="21" priority="2">
      <x:formula>O2="search URL only"</x:formula>
    </x:cfRule>
  </x:conditionalFormatting>
  <x:conditionalFormatting sqref="R2:R3">
    <x:cfRule type="expression" dxfId="22" priority="3">
      <x:formula>R2="required"</x:formula>
    </x:cfRule>
    <x:cfRule type="expression" dxfId="23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e79fc8154e40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31" t="str">
        <x:v>Unit price</x:v>
      </x:c>
      <x:c r="O1" s="8" t="str">
        <x:v>Price verification status</x:v>
      </x:c>
      <x:c r="P1" s="8" t="str">
        <x:v>Quantity to buy</x:v>
      </x:c>
      <x:c r="Q1" s="31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From Trees to Tech</x:v>
      </x:c>
      <x:c r="B2" s="12" t="str">
        <x:v>TTB-01</x:v>
      </x:c>
      <x:c r="C2" s="12" t="str">
        <x:v>Root Grip Erosion Rescue</x:v>
      </x:c>
      <x:c r="D2" s="12" t="str">
        <x:v>backup kit</x:v>
      </x:c>
      <x:c r="E2" s="12" t="str">
        <x:v>trays, soil, string or yarn roots, craft sticks</x:v>
      </x:c>
      <x:c r="F2" s="12" t="str">
        <x:v>Backup-only activity materials</x:v>
      </x:c>
      <x:c r="G2" s="12" t="str">
        <x:v>mixed</x:v>
      </x:c>
      <x:c r="H2" s="12" t="str">
        <x:v>maybe yes</x:v>
      </x:c>
      <x:c r="I2" s="12" t="str">
        <x:v>6 team kits</x:v>
      </x:c>
      <x:c r="J2" s="12" t="str">
        <x:v>15 percent extra</x:v>
      </x:c>
      <x:c r="K2" s="12" t="str">
        <x:v>Amazon search for listed materials</x:v>
      </x:c>
      <x:c r="L2" s="12" t="str">
        <x:v>https://www.amazon.com/s?k=trays+soil+string+or+yarn+roots</x:v>
      </x:c>
      <x:c r="M2" s="12" t="str"/>
      <x:c r="N2" s="14" t="n">
        <x:v>12</x:v>
      </x:c>
      <x:c r="O2" s="12" t="str">
        <x:v>local estimate</x:v>
      </x:c>
      <x:c r="P2" s="12" t="str">
        <x:v>1</x:v>
      </x:c>
      <x:c r="Q2" s="14" t="n">
        <x:f>IFERROR(N2*P2,0)</x:f>
        <x:v>12</x:v>
      </x:c>
      <x:c r="R2" s="12" t="str">
        <x:v>backup-only</x:v>
      </x:c>
      <x:c r="S2" s="12" t="str">
        <x:v>Borrow or use existing supplies</x:v>
      </x:c>
      <x:c r="T2" s="12" t="str">
        <x:v>yes</x:v>
      </x:c>
      <x:c r="U2" s="12" t="str">
        <x:v>Use trays and wipe spills.</x:v>
      </x:c>
      <x:c r="V2" s="12" t="str">
        <x:v>TTB-01 backup bin</x:v>
      </x:c>
      <x:c r="W2" s="12" t="str">
        <x:v>2026-05-27</x:v>
      </x:c>
      <x:c r="X2" s="12" t="str">
        <x:v>EPA green infrastructure and erosion lessons</x:v>
      </x:c>
      <x:c r="Y2" s="12" t="str">
        <x:v>Backup-only. Do not order unless needed.</x:v>
      </x:c>
    </x:row>
    <x:row r="3">
      <x:c r="A3" s="12" t="str">
        <x:v>From Trees to Tech</x:v>
      </x:c>
      <x:c r="B3" s="12" t="str">
        <x:v>TTB-02</x:v>
      </x:c>
      <x:c r="C3" s="12" t="str">
        <x:v>Tree Height Triangulation Shootout</x:v>
      </x:c>
      <x:c r="D3" s="12" t="str">
        <x:v>backup kit</x:v>
      </x:c>
      <x:c r="E3" s="12" t="str">
        <x:v>clinometers, string, washers, rulers</x:v>
      </x:c>
      <x:c r="F3" s="12" t="str">
        <x:v>Backup-only activity materials</x:v>
      </x:c>
      <x:c r="G3" s="12" t="str">
        <x:v>mixed</x:v>
      </x:c>
      <x:c r="H3" s="12" t="str">
        <x:v>maybe yes</x:v>
      </x:c>
      <x:c r="I3" s="12" t="str">
        <x:v>6 team kits</x:v>
      </x:c>
      <x:c r="J3" s="12" t="str">
        <x:v>15 percent extra</x:v>
      </x:c>
      <x:c r="K3" s="12" t="str">
        <x:v>Amazon search for listed materials</x:v>
      </x:c>
      <x:c r="L3" s="12" t="str">
        <x:v>https://www.amazon.com/s?k=clinometers+string+washers</x:v>
      </x:c>
      <x:c r="M3" s="12" t="str"/>
      <x:c r="N3" s="14" t="n">
        <x:v>12</x:v>
      </x:c>
      <x:c r="O3" s="12" t="str">
        <x:v>local estimate</x:v>
      </x:c>
      <x:c r="P3" s="12" t="str">
        <x:v>1</x:v>
      </x:c>
      <x:c r="Q3" s="14" t="n">
        <x:f>IFERROR(N3*P3,0)</x:f>
        <x:v>12</x:v>
      </x:c>
      <x:c r="R3" s="12" t="str">
        <x:v>backup-only</x:v>
      </x:c>
      <x:c r="S3" s="12" t="str">
        <x:v>Borrow or use existing supplies</x:v>
      </x:c>
      <x:c r="T3" s="12" t="str">
        <x:v>yes</x:v>
      </x:c>
      <x:c r="U3" s="12" t="str">
        <x:v>Outdoor boundaries.</x:v>
      </x:c>
      <x:c r="V3" s="12" t="str">
        <x:v>TTB-02 backup bin</x:v>
      </x:c>
      <x:c r="W3" s="12" t="str">
        <x:v>2026-05-27</x:v>
      </x:c>
      <x:c r="X3" s="12" t="str">
        <x:v>GLOBE Trees Activities</x:v>
      </x:c>
      <x:c r="Y3" s="12" t="str">
        <x:v>Backup-only. Do not order unless needed.</x:v>
      </x:c>
    </x:row>
    <x:row r="4">
      <x:c r="A4" s="12" t="str">
        <x:v>From Trees to Tech</x:v>
      </x:c>
      <x:c r="B4" s="12" t="str">
        <x:v>TTB-03</x:v>
      </x:c>
      <x:c r="C4" s="12" t="str">
        <x:v>Urban Heat Shade Dash</x:v>
      </x:c>
      <x:c r="D4" s="12" t="str">
        <x:v>backup kit</x:v>
      </x:c>
      <x:c r="E4" s="12" t="str">
        <x:v>thermometers or IR thermometers, maps, clipboards</x:v>
      </x:c>
      <x:c r="F4" s="12" t="str">
        <x:v>Backup-only activity materials</x:v>
      </x:c>
      <x:c r="G4" s="12" t="str">
        <x:v>mixed</x:v>
      </x:c>
      <x:c r="H4" s="12" t="str">
        <x:v>maybe yes</x:v>
      </x:c>
      <x:c r="I4" s="12" t="str">
        <x:v>6 team kits</x:v>
      </x:c>
      <x:c r="J4" s="12" t="str">
        <x:v>15 percent extra</x:v>
      </x:c>
      <x:c r="K4" s="12" t="str">
        <x:v>Amazon search for listed materials</x:v>
      </x:c>
      <x:c r="L4" s="12" t="str">
        <x:v>https://www.amazon.com/s?k=thermometers+or+IR+thermometers+maps+clipboards</x:v>
      </x:c>
      <x:c r="M4" s="12" t="str"/>
      <x:c r="N4" s="14" t="n">
        <x:v>12</x:v>
      </x:c>
      <x:c r="O4" s="12" t="str">
        <x:v>local estimate</x:v>
      </x:c>
      <x:c r="P4" s="12" t="str">
        <x:v>1</x:v>
      </x:c>
      <x:c r="Q4" s="14" t="n">
        <x:f>IFERROR(N4*P4,0)</x:f>
        <x:v>12</x:v>
      </x:c>
      <x:c r="R4" s="12" t="str">
        <x:v>backup-only</x:v>
      </x:c>
      <x:c r="S4" s="12" t="str">
        <x:v>Borrow or use existing supplies</x:v>
      </x:c>
      <x:c r="T4" s="12" t="str">
        <x:v>yes</x:v>
      </x:c>
      <x:c r="U4" s="12" t="str">
        <x:v>Check heat index. Walk, do not run.</x:v>
      </x:c>
      <x:c r="V4" s="12" t="str">
        <x:v>TTB-03 backup bin</x:v>
      </x:c>
      <x:c r="W4" s="12" t="str">
        <x:v>2026-05-27</x:v>
      </x:c>
      <x:c r="X4" s="12" t="str">
        <x:v>NASA MyNASAData Urban Heat Island</x:v>
      </x:c>
      <x:c r="Y4" s="12" t="str">
        <x:v>Backup-only. Do not order unless needed.</x:v>
      </x:c>
    </x:row>
    <x:row r="5">
      <x:c r="A5" s="12" t="str">
        <x:v>From Trees to Tech</x:v>
      </x:c>
      <x:c r="B5" s="12" t="str">
        <x:v>TTB-04</x:v>
      </x:c>
      <x:c r="C5" s="12" t="str">
        <x:v>Photosynthesis Float-Off Playoffs</x:v>
      </x:c>
      <x:c r="D5" s="12" t="str">
        <x:v>backup kit</x:v>
      </x:c>
      <x:c r="E5" s="12" t="str">
        <x:v>spinach leaves, baking soda solution, cups, oral syringes without needles</x:v>
      </x:c>
      <x:c r="F5" s="12" t="str">
        <x:v>Backup-only activity materials</x:v>
      </x:c>
      <x:c r="G5" s="12" t="str">
        <x:v>mixed</x:v>
      </x:c>
      <x:c r="H5" s="12" t="str">
        <x:v>maybe yes</x:v>
      </x:c>
      <x:c r="I5" s="12" t="str">
        <x:v>6 team kits</x:v>
      </x:c>
      <x:c r="J5" s="12" t="str">
        <x:v>15 percent extra</x:v>
      </x:c>
      <x:c r="K5" s="12" t="str">
        <x:v>Amazon search for listed materials</x:v>
      </x:c>
      <x:c r="L5" s="12" t="str">
        <x:v>https://www.amazon.com/s?k=spinach+leaves+baking+soda+solution+cups</x:v>
      </x:c>
      <x:c r="M5" s="12" t="str"/>
      <x:c r="N5" s="14" t="n">
        <x:v>12</x:v>
      </x:c>
      <x:c r="O5" s="12" t="str">
        <x:v>local estimate</x:v>
      </x:c>
      <x:c r="P5" s="12" t="str">
        <x:v>1</x:v>
      </x:c>
      <x:c r="Q5" s="14" t="n">
        <x:f>IFERROR(N5*P5,0)</x:f>
        <x:v>12</x:v>
      </x:c>
      <x:c r="R5" s="12" t="str">
        <x:v>backup-only</x:v>
      </x:c>
      <x:c r="S5" s="12" t="str">
        <x:v>Borrow or use existing supplies</x:v>
      </x:c>
      <x:c r="T5" s="12" t="str">
        <x:v>yes</x:v>
      </x:c>
      <x:c r="U5" s="12" t="str">
        <x:v>No tasting. Handle syringes as lab tools.</x:v>
      </x:c>
      <x:c r="V5" s="12" t="str">
        <x:v>TTB-04 backup bin</x:v>
      </x:c>
      <x:c r="W5" s="12" t="str">
        <x:v>2026-05-27</x:v>
      </x:c>
      <x:c r="X5" s="12" t="str">
        <x:v>Exploratorium Photosynthetic Floatation</x:v>
      </x:c>
      <x:c r="Y5" s="12" t="str">
        <x:v>Backup-only. Do not order unless needed.</x:v>
      </x:c>
    </x:row>
    <x:row r="6">
      <x:c r="A6" s="12" t="str">
        <x:v>PY-STEM</x:v>
      </x:c>
      <x:c r="B6" s="12" t="str">
        <x:v>PYB-01</x:v>
      </x:c>
      <x:c r="C6" s="12" t="str">
        <x:v>Pencil Pressure Safety Lab</x:v>
      </x:c>
      <x:c r="D6" s="12" t="str">
        <x:v>backup kit</x:v>
      </x:c>
      <x:c r="E6" s="12" t="str">
        <x:v>pencils, foam, cardboard, weights</x:v>
      </x:c>
      <x:c r="F6" s="12" t="str">
        <x:v>Backup-only activity materials</x:v>
      </x:c>
      <x:c r="G6" s="12" t="str">
        <x:v>mixed</x:v>
      </x:c>
      <x:c r="H6" s="12" t="str">
        <x:v>maybe yes</x:v>
      </x:c>
      <x:c r="I6" s="12" t="str">
        <x:v>6 team kits</x:v>
      </x:c>
      <x:c r="J6" s="12" t="str">
        <x:v>15 percent extra</x:v>
      </x:c>
      <x:c r="K6" s="12" t="str">
        <x:v>Amazon search for listed materials</x:v>
      </x:c>
      <x:c r="L6" s="12" t="str">
        <x:v>https://www.amazon.com/s?k=pencils+foam+cardboard</x:v>
      </x:c>
      <x:c r="M6" s="12" t="str"/>
      <x:c r="N6" s="14" t="n">
        <x:v>12</x:v>
      </x:c>
      <x:c r="O6" s="12" t="str">
        <x:v>local estimate</x:v>
      </x:c>
      <x:c r="P6" s="12" t="str">
        <x:v>1</x:v>
      </x:c>
      <x:c r="Q6" s="14" t="n">
        <x:f>IFERROR(N6*P6,0)</x:f>
        <x:v>12</x:v>
      </x:c>
      <x:c r="R6" s="12" t="str">
        <x:v>backup-only</x:v>
      </x:c>
      <x:c r="S6" s="12" t="str">
        <x:v>Borrow or use existing supplies</x:v>
      </x:c>
      <x:c r="T6" s="12" t="str">
        <x:v>yes</x:v>
      </x:c>
      <x:c r="U6" s="12" t="str">
        <x:v>No skin tests. Use foam only.</x:v>
      </x:c>
      <x:c r="V6" s="12" t="str">
        <x:v>PYB-01 backup bin</x:v>
      </x:c>
      <x:c r="W6" s="12" t="str">
        <x:v>2026-05-27</x:v>
      </x:c>
      <x:c r="X6" s="12" t="str">
        <x:v>IIHS Pencil Pressure</x:v>
      </x:c>
      <x:c r="Y6" s="12" t="str">
        <x:v>Backup-only. Do not order unless needed.</x:v>
      </x:c>
    </x:row>
    <x:row r="7">
      <x:c r="A7" s="12" t="str">
        <x:v>PY-STEM</x:v>
      </x:c>
      <x:c r="B7" s="12" t="str">
        <x:v>PYB-02</x:v>
      </x:c>
      <x:c r="C7" s="12" t="str">
        <x:v>Domino Neuron Relay</x:v>
      </x:c>
      <x:c r="D7" s="12" t="str">
        <x:v>backup kit</x:v>
      </x:c>
      <x:c r="E7" s="12" t="str">
        <x:v>dominoes, rulers, tape, index cards</x:v>
      </x:c>
      <x:c r="F7" s="12" t="str">
        <x:v>Backup-only activity materials</x:v>
      </x:c>
      <x:c r="G7" s="12" t="str">
        <x:v>mixed</x:v>
      </x:c>
      <x:c r="H7" s="12" t="str">
        <x:v>maybe yes</x:v>
      </x:c>
      <x:c r="I7" s="12" t="str">
        <x:v>6 team kits</x:v>
      </x:c>
      <x:c r="J7" s="12" t="str">
        <x:v>15 percent extra</x:v>
      </x:c>
      <x:c r="K7" s="12" t="str">
        <x:v>Amazon search for listed materials</x:v>
      </x:c>
      <x:c r="L7" s="12" t="str">
        <x:v>https://www.amazon.com/s?k=dominoes+rulers+tape</x:v>
      </x:c>
      <x:c r="M7" s="12" t="str"/>
      <x:c r="N7" s="14" t="n">
        <x:v>12</x:v>
      </x:c>
      <x:c r="O7" s="12" t="str">
        <x:v>local estimate</x:v>
      </x:c>
      <x:c r="P7" s="12" t="str">
        <x:v>1</x:v>
      </x:c>
      <x:c r="Q7" s="14" t="n">
        <x:f>IFERROR(N7*P7,0)</x:f>
        <x:v>12</x:v>
      </x:c>
      <x:c r="R7" s="12" t="str">
        <x:v>backup-only</x:v>
      </x:c>
      <x:c r="S7" s="12" t="str">
        <x:v>Borrow or use existing supplies</x:v>
      </x:c>
      <x:c r="T7" s="12" t="str">
        <x:v>yes</x:v>
      </x:c>
      <x:c r="U7" s="12" t="str">
        <x:v>Low risk.</x:v>
      </x:c>
      <x:c r="V7" s="12" t="str">
        <x:v>PYB-02 backup bin</x:v>
      </x:c>
      <x:c r="W7" s="12" t="str">
        <x:v>2026-05-27</x:v>
      </x:c>
      <x:c r="X7" s="12" t="str">
        <x:v>Exploratorium Domino Effect</x:v>
      </x:c>
      <x:c r="Y7" s="12" t="str">
        <x:v>Backup-only. Do not order unless needed.</x:v>
      </x:c>
    </x:row>
    <x:row r="8">
      <x:c r="A8" s="12" t="str">
        <x:v>PY-STEM</x:v>
      </x:c>
      <x:c r="B8" s="12" t="str">
        <x:v>PYB-03</x:v>
      </x:c>
      <x:c r="C8" s="12" t="str">
        <x:v>Pulley Rescue Relay</x:v>
      </x:c>
      <x:c r="D8" s="12" t="str">
        <x:v>backup kit</x:v>
      </x:c>
      <x:c r="E8" s="12" t="str">
        <x:v>classroom pulleys, string, weights, spring scales if available</x:v>
      </x:c>
      <x:c r="F8" s="12" t="str">
        <x:v>Backup-only activity materials</x:v>
      </x:c>
      <x:c r="G8" s="12" t="str">
        <x:v>mixed</x:v>
      </x:c>
      <x:c r="H8" s="12" t="str">
        <x:v>maybe yes</x:v>
      </x:c>
      <x:c r="I8" s="12" t="str">
        <x:v>6 team kits</x:v>
      </x:c>
      <x:c r="J8" s="12" t="str">
        <x:v>15 percent extra</x:v>
      </x:c>
      <x:c r="K8" s="12" t="str">
        <x:v>Amazon search for listed materials</x:v>
      </x:c>
      <x:c r="L8" s="12" t="str">
        <x:v>https://www.amazon.com/s?k=classroom+pulleys+string+weights</x:v>
      </x:c>
      <x:c r="M8" s="12" t="str"/>
      <x:c r="N8" s="14" t="n">
        <x:v>12</x:v>
      </x:c>
      <x:c r="O8" s="12" t="str">
        <x:v>local estimate</x:v>
      </x:c>
      <x:c r="P8" s="12" t="str">
        <x:v>1</x:v>
      </x:c>
      <x:c r="Q8" s="14" t="n">
        <x:f>IFERROR(N8*P8,0)</x:f>
        <x:v>12</x:v>
      </x:c>
      <x:c r="R8" s="12" t="str">
        <x:v>backup-only</x:v>
      </x:c>
      <x:c r="S8" s="12" t="str">
        <x:v>Borrow or use existing supplies</x:v>
      </x:c>
      <x:c r="T8" s="12" t="str">
        <x:v>yes</x:v>
      </x:c>
      <x:c r="U8" s="12" t="str">
        <x:v>Keep feet clear of loads.</x:v>
      </x:c>
      <x:c r="V8" s="12" t="str">
        <x:v>PYB-03 backup bin</x:v>
      </x:c>
      <x:c r="W8" s="12" t="str">
        <x:v>2026-05-27</x:v>
      </x:c>
      <x:c r="X8" s="12" t="str">
        <x:v>TryEngineering Pulleys and Force</x:v>
      </x:c>
      <x:c r="Y8" s="12" t="str">
        <x:v>Backup-only. Do not order unless needed.</x:v>
      </x:c>
    </x:row>
    <x:row r="9">
      <x:c r="A9" s="12" t="str">
        <x:v>PY-STEM</x:v>
      </x:c>
      <x:c r="B9" s="12" t="str">
        <x:v>PYB-04</x:v>
      </x:c>
      <x:c r="C9" s="12" t="str">
        <x:v>Barcode Checksum Rescue</x:v>
      </x:c>
      <x:c r="D9" s="12" t="str">
        <x:v>backup kit</x:v>
      </x:c>
      <x:c r="E9" s="12" t="str">
        <x:v>printed barcode cards, dry erase boards, timers</x:v>
      </x:c>
      <x:c r="F9" s="12" t="str">
        <x:v>Backup-only activity materials</x:v>
      </x:c>
      <x:c r="G9" s="12" t="str">
        <x:v>mixed</x:v>
      </x:c>
      <x:c r="H9" s="12" t="str">
        <x:v>maybe yes</x:v>
      </x:c>
      <x:c r="I9" s="12" t="str">
        <x:v>6 team kits</x:v>
      </x:c>
      <x:c r="J9" s="12" t="str">
        <x:v>15 percent extra</x:v>
      </x:c>
      <x:c r="K9" s="12" t="str">
        <x:v>Amazon search for listed materials</x:v>
      </x:c>
      <x:c r="L9" s="12" t="str">
        <x:v>https://www.amazon.com/s?k=printed+barcode+cards+dry+erase+boards+timers</x:v>
      </x:c>
      <x:c r="M9" s="12" t="str"/>
      <x:c r="N9" s="14" t="n">
        <x:v>12</x:v>
      </x:c>
      <x:c r="O9" s="12" t="str">
        <x:v>local estimate</x:v>
      </x:c>
      <x:c r="P9" s="12" t="str">
        <x:v>1</x:v>
      </x:c>
      <x:c r="Q9" s="14" t="n">
        <x:f>IFERROR(N9*P9,0)</x:f>
        <x:v>12</x:v>
      </x:c>
      <x:c r="R9" s="12" t="str">
        <x:v>backup-only</x:v>
      </x:c>
      <x:c r="S9" s="12" t="str">
        <x:v>Borrow or use existing supplies</x:v>
      </x:c>
      <x:c r="T9" s="12" t="str">
        <x:v>yes</x:v>
      </x:c>
      <x:c r="U9" s="12" t="str">
        <x:v>Normal classroom management.</x:v>
      </x:c>
      <x:c r="V9" s="12" t="str">
        <x:v>PYB-04 backup bin</x:v>
      </x:c>
      <x:c r="W9" s="12" t="str">
        <x:v>2026-05-27</x:v>
      </x:c>
      <x:c r="X9" s="12" t="str">
        <x:v>Computer science unplugged error-detection concepts</x:v>
      </x:c>
      <x:c r="Y9" s="12" t="str">
        <x:v>Backup-only. Do not order unless needed.</x:v>
      </x:c>
    </x:row>
  </x:sheetData>
  <x:conditionalFormatting sqref="O2:O9">
    <x:cfRule type="expression" dxfId="24" priority="1">
      <x:formula>O2="unverified"</x:formula>
    </x:cfRule>
    <x:cfRule type="expression" dxfId="25" priority="2">
      <x:formula>O2="search URL only"</x:formula>
    </x:cfRule>
  </x:conditionalFormatting>
  <x:conditionalFormatting sqref="R2:R9">
    <x:cfRule type="expression" dxfId="26" priority="3">
      <x:formula>R2="required"</x:formula>
    </x:cfRule>
    <x:cfRule type="expression" dxfId="27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8f4f0072ce41d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5" hidden="0" customWidth="1"/>
    <x:col min="5" max="5" width="26" hidden="0" customWidth="1"/>
    <x:col min="6" max="6" width="30" hidden="0" customWidth="1"/>
    <x:col min="7" max="7" width="15" hidden="0" customWidth="1"/>
    <x:col min="8" max="8" width="16" hidden="0" customWidth="1"/>
    <x:col min="9" max="9" width="22" hidden="0" customWidth="1"/>
    <x:col min="10" max="10" width="14" hidden="0" customWidth="1"/>
    <x:col min="11" max="11" width="30" hidden="0" customWidth="1"/>
    <x:col min="12" max="12" width="34" hidden="0" customWidth="1"/>
    <x:col min="13" max="13" width="14" hidden="0" customWidth="1"/>
    <x:col min="14" max="14" width="12" hidden="0" customWidth="1"/>
    <x:col min="15" max="15" width="16" hidden="0" customWidth="1"/>
    <x:col min="16" max="16" width="12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28" hidden="0" customWidth="1"/>
    <x:col min="22" max="22" width="20" hidden="0" customWidth="1"/>
    <x:col min="23" max="23" width="14" hidden="0" customWidth="1"/>
    <x:col min="24" max="24" width="30" hidden="0" customWidth="1"/>
    <x:col min="25" max="25" width="24" hidden="0" customWidth="1"/>
  </x:cols>
  <x:sheetData>
    <x:row r="1">
      <x:c r="A1" s="8" t="str">
        <x:v>Camp</x:v>
      </x:c>
      <x:c r="B1" s="8" t="str">
        <x:v>Activity ID</x:v>
      </x:c>
      <x:c r="C1" s="8" t="str">
        <x:v>Activity title</x:v>
      </x:c>
      <x:c r="D1" s="8" t="str">
        <x:v>Category</x:v>
      </x:c>
      <x:c r="E1" s="8" t="str">
        <x:v>Item name</x:v>
      </x:c>
      <x:c r="F1" s="8" t="str">
        <x:v>Purpose</x:v>
      </x:c>
      <x:c r="G1" s="8" t="str">
        <x:v>Consumable or reusable</x:v>
      </x:c>
      <x:c r="H1" s="8" t="str">
        <x:v>Existing inventory likely yes or no</x:v>
      </x:c>
      <x:c r="I1" s="8" t="str">
        <x:v>Quantity needed for 25 students and 6 teams</x:v>
      </x:c>
      <x:c r="J1" s="8" t="str">
        <x:v>Spare quantity</x:v>
      </x:c>
      <x:c r="K1" s="8" t="str">
        <x:v>Recommended Amazon product name</x:v>
      </x:c>
      <x:c r="L1" s="8" t="str">
        <x:v>Amazon URL</x:v>
      </x:c>
      <x:c r="M1" s="8" t="str">
        <x:v>ASIN if verified</x:v>
      </x:c>
      <x:c r="N1" s="8" t="str">
        <x:v>Unit price</x:v>
      </x:c>
      <x:c r="O1" s="8" t="str">
        <x:v>Price verification status</x:v>
      </x:c>
      <x:c r="P1" s="8" t="str">
        <x:v>Quantity to buy</x:v>
      </x:c>
      <x:c r="Q1" s="8" t="str">
        <x:v>Estimated subtotal</x:v>
      </x:c>
      <x:c r="R1" s="8" t="str">
        <x:v>Purchase priority</x:v>
      </x:c>
      <x:c r="S1" s="8" t="str">
        <x:v>Cheaper alternative</x:v>
      </x:c>
      <x:c r="T1" s="8" t="str">
        <x:v>Local purchase better yes or no</x:v>
      </x:c>
      <x:c r="U1" s="8" t="str">
        <x:v>Safety or allergy note</x:v>
      </x:c>
      <x:c r="V1" s="8" t="str">
        <x:v>Storage or cleanup note</x:v>
      </x:c>
      <x:c r="W1" s="8" t="str">
        <x:v>Last checked date</x:v>
      </x:c>
      <x:c r="X1" s="8" t="str">
        <x:v>Source or citation</x:v>
      </x:c>
      <x:c r="Y1" s="8" t="str">
        <x:v>Notes</x:v>
      </x:c>
    </x:row>
    <x:row r="2">
      <x:c r="A2" s="12" t="str">
        <x:v>From Trees to Tech</x:v>
      </x:c>
      <x:c r="B2" s="12" t="str">
        <x:v>TTT-01</x:v>
      </x:c>
      <x:c r="C2" s="12" t="str">
        <x:v>MudWatt Bioelectric League</x:v>
      </x:c>
      <x:c r="D2" s="12" t="str">
        <x:v>consumable</x:v>
      </x:c>
      <x:c r="E2" s="12" t="str">
        <x:v>Fresh soil or mud samples</x:v>
      </x:c>
      <x:c r="F2" s="12" t="str">
        <x:v>Microbial fuel source</x:v>
      </x:c>
      <x:c r="G2" s="12" t="str">
        <x:v>consumable</x:v>
      </x:c>
      <x:c r="H2" s="12" t="str">
        <x:v>no</x:v>
      </x:c>
      <x:c r="I2" s="12" t="str">
        <x:v>6 sealed containers</x:v>
      </x:c>
      <x:c r="J2" s="12" t="str">
        <x:v>15 percent extra</x:v>
      </x:c>
      <x:c r="K2" s="12" t="str">
        <x:v>local soil or potting soil</x:v>
      </x:c>
      <x:c r="L2" s="12" t="str">
        <x:v>local purchase or collection</x:v>
      </x:c>
      <x:c r="M2" s="12" t="str"/>
      <x:c r="N2" s="14" t="str">
        <x:v>0</x:v>
      </x:c>
      <x:c r="O2" s="12" t="str">
        <x:v>local estimate</x:v>
      </x:c>
      <x:c r="P2" s="12" t="str">
        <x:v>1</x:v>
      </x:c>
      <x:c r="Q2" s="14" t="n">
        <x:f>IFERROR(N2*P2,0)</x:f>
        <x:v>0</x:v>
      </x:c>
      <x:c r="R2" s="12" t="str">
        <x:v>required</x:v>
      </x:c>
      <x:c r="S2" s="12" t="str">
        <x:v>Collect from approved campus site</x:v>
      </x:c>
      <x:c r="T2" s="12" t="str">
        <x:v>yes</x:v>
      </x:c>
      <x:c r="U2" s="12" t="str">
        <x:v>Avoid contaminated soil. Gloves required.</x:v>
      </x:c>
      <x:c r="V2" s="12" t="str">
        <x:v>Sealed soil tub</x:v>
      </x:c>
      <x:c r="W2" s="12" t="str">
        <x:v>2026-05-27</x:v>
      </x:c>
      <x:c r="X2" s="12" t="str">
        <x:v>https://www.magicalmicrobes.com/pages/how-mudwatt-works</x:v>
      </x:c>
      <x:c r="Y2" s="12" t="str">
        <x:v>Use approved campus collection only.</x:v>
      </x:c>
    </x:row>
    <x:row r="3">
      <x:c r="A3" s="12" t="str">
        <x:v>From Trees to Tech</x:v>
      </x:c>
      <x:c r="B3" s="12" t="str">
        <x:v>TTT-02</x:v>
      </x:c>
      <x:c r="C3" s="12" t="str">
        <x:v>Forest Sensor Sprint</x:v>
      </x:c>
      <x:c r="D3" s="12" t="str">
        <x:v>field measurement</x:v>
      </x:c>
      <x:c r="E3" s="12" t="str">
        <x:v>Mini hygrometer/thermometer units</x:v>
      </x:c>
      <x:c r="F3" s="12" t="str">
        <x:v>Microclimate data collection</x:v>
      </x:c>
      <x:c r="G3" s="12" t="str">
        <x:v>reusable</x:v>
      </x:c>
      <x:c r="H3" s="12" t="str">
        <x:v>no</x:v>
      </x:c>
      <x:c r="I3" s="12" t="str">
        <x:v>6 to 8 units</x:v>
      </x:c>
      <x:c r="J3" s="12" t="str">
        <x:v>1 spare</x:v>
      </x:c>
      <x:c r="K3" s="12" t="str">
        <x:v>mini digital hygrometer thermometer</x:v>
      </x:c>
      <x:c r="L3" s="12" t="str">
        <x:v>https://www.amazon.com/s?k=mini+digital+hygrometer+thermometer</x:v>
      </x:c>
      <x:c r="M3" s="12" t="str"/>
      <x:c r="N3" s="14" t="str"/>
      <x:c r="O3" s="12" t="str">
        <x:v>search URL only</x:v>
      </x:c>
      <x:c r="P3" s="12" t="str">
        <x:v>2</x:v>
      </x:c>
      <x:c r="Q3" s="14" t="n">
        <x:f>IFERROR(N3*P3,0)</x:f>
        <x:v>0</x:v>
      </x:c>
      <x:c r="R3" s="12" t="str">
        <x:v>recommended</x:v>
      </x:c>
      <x:c r="S3" s="12" t="str">
        <x:v>Borrow from lab</x:v>
      </x:c>
      <x:c r="T3" s="12" t="str">
        <x:v>yes</x:v>
      </x:c>
      <x:c r="U3" s="12" t="str"/>
      <x:c r="V3" s="12" t="str">
        <x:v>Sensor bin</x:v>
      </x:c>
      <x:c r="W3" s="12" t="str">
        <x:v>2026-05-27</x:v>
      </x:c>
      <x:c r="X3" s="12" t="str">
        <x:v>https://observer.globe.gov/do-globe-observer/trees</x:v>
      </x:c>
      <x:c r="Y3" s="12" t="str">
        <x:v>Use relative comparisons if readings drift.</x:v>
      </x:c>
    </x:row>
    <x:row r="4">
      <x:c r="A4" s="12" t="str">
        <x:v>From Trees to Tech</x:v>
      </x:c>
      <x:c r="B4" s="12" t="str">
        <x:v>TTT-02</x:v>
      </x:c>
      <x:c r="C4" s="12" t="str">
        <x:v>Forest Sensor Sprint</x:v>
      </x:c>
      <x:c r="D4" s="12" t="str">
        <x:v>field measurement</x:v>
      </x:c>
      <x:c r="E4" s="12" t="str">
        <x:v>3-in-1 soil moisture meter</x:v>
      </x:c>
      <x:c r="F4" s="12" t="str">
        <x:v>Optional soil comparison</x:v>
      </x:c>
      <x:c r="G4" s="12" t="str">
        <x:v>reusable</x:v>
      </x:c>
      <x:c r="H4" s="12" t="str">
        <x:v>no</x:v>
      </x:c>
      <x:c r="I4" s="12" t="str">
        <x:v>6 units</x:v>
      </x:c>
      <x:c r="J4" s="12" t="str">
        <x:v>0 to 1 spare</x:v>
      </x:c>
      <x:c r="K4" s="12" t="str">
        <x:v>SONKIR Soil pH Meter MS02 3-in-1</x:v>
      </x:c>
      <x:c r="L4" s="12" t="str">
        <x:v>https://www.amazon.com/dp/B07BR52P26</x:v>
      </x:c>
      <x:c r="M4" s="12" t="str">
        <x:v>B07BR52P26</x:v>
      </x:c>
      <x:c r="N4" s="14" t="str"/>
      <x:c r="O4" s="12" t="str">
        <x:v>unverified</x:v>
      </x:c>
      <x:c r="P4" s="12" t="str">
        <x:v>6</x:v>
      </x:c>
      <x:c r="Q4" s="14" t="n">
        <x:f>IFERROR(N4*P4,0)</x:f>
        <x:v>0</x:v>
      </x:c>
      <x:c r="R4" s="12" t="str">
        <x:v>recommended</x:v>
      </x:c>
      <x:c r="S4" s="12" t="str">
        <x:v>Moisture-only meter</x:v>
      </x:c>
      <x:c r="T4" s="12" t="str">
        <x:v>yes</x:v>
      </x:c>
      <x:c r="U4" s="12" t="str">
        <x:v>Probe tips are pointed.</x:v>
      </x:c>
      <x:c r="V4" s="12" t="str">
        <x:v>Wipe probes clean</x:v>
      </x:c>
      <x:c r="W4" s="12" t="str">
        <x:v>2026-05-27</x:v>
      </x:c>
      <x:c r="X4" s="12" t="str">
        <x:v>https://observer.globe.gov/do-globe-observer/trees</x:v>
      </x:c>
      <x:c r="Y4" s="12" t="str">
        <x:v>Price hidden or not confirmed.</x:v>
      </x:c>
    </x:row>
    <x:row r="5">
      <x:c r="A5" s="12" t="str">
        <x:v>From Trees to Tech</x:v>
      </x:c>
      <x:c r="B5" s="12" t="str">
        <x:v>TTT-02</x:v>
      </x:c>
      <x:c r="C5" s="12" t="str">
        <x:v>Forest Sensor Sprint</x:v>
      </x:c>
      <x:c r="D5" s="12" t="str">
        <x:v>printing</x:v>
      </x:c>
      <x:c r="E5" s="12" t="str">
        <x:v>Paper clinometer templates</x:v>
      </x:c>
      <x:c r="F5" s="12" t="str">
        <x:v>Tree height estimates</x:v>
      </x:c>
      <x:c r="G5" s="12" t="str">
        <x:v>consumable</x:v>
      </x:c>
      <x:c r="H5" s="12" t="str">
        <x:v>no</x:v>
      </x:c>
      <x:c r="I5" s="12" t="str">
        <x:v>30 sheets</x:v>
      </x:c>
      <x:c r="J5" s="12" t="str">
        <x:v>5 spare</x:v>
      </x:c>
      <x:c r="K5" s="12" t="str">
        <x:v>local print</x:v>
      </x:c>
      <x:c r="L5" s="12" t="str">
        <x:v>local purchase</x:v>
      </x:c>
      <x:c r="M5" s="12" t="str"/>
      <x:c r="N5" s="14" t="str">
        <x:v>0</x:v>
      </x:c>
      <x:c r="O5" s="12" t="str">
        <x:v>local estimate</x:v>
      </x:c>
      <x:c r="P5" s="12" t="str">
        <x:v>1</x:v>
      </x:c>
      <x:c r="Q5" s="14" t="n">
        <x:f>IFERROR(N5*P5,0)</x:f>
        <x:v>0</x:v>
      </x:c>
      <x:c r="R5" s="12" t="str">
        <x:v>required</x:v>
      </x:c>
      <x:c r="S5" s="12" t="str">
        <x:v>Hand-draw masters</x:v>
      </x:c>
      <x:c r="T5" s="12" t="str">
        <x:v>yes</x:v>
      </x:c>
      <x:c r="U5" s="12" t="str"/>
      <x:c r="V5" s="12" t="str">
        <x:v>Field folder</x:v>
      </x:c>
      <x:c r="W5" s="12" t="str">
        <x:v>2026-05-27</x:v>
      </x:c>
      <x:c r="X5" s="12" t="str">
        <x:v>https://observer.globe.gov/do-globe-observer/trees</x:v>
      </x:c>
      <x:c r="Y5" s="12" t="str">
        <x:v>Use GLOBE-style clinometer.</x:v>
      </x:c>
    </x:row>
    <x:row r="6">
      <x:c r="A6" s="12" t="str">
        <x:v>From Trees to Tech</x:v>
      </x:c>
      <x:c r="B6" s="12" t="str">
        <x:v>TTT-03</x:v>
      </x:c>
      <x:c r="C6" s="12" t="str">
        <x:v>Seed Dispersal Derby</x:v>
      </x:c>
      <x:c r="D6" s="12" t="str">
        <x:v>build supplies</x:v>
      </x:c>
      <x:c r="E6" s="12" t="str">
        <x:v>Paper, cardstock, paper clips, string</x:v>
      </x:c>
      <x:c r="F6" s="12" t="str">
        <x:v>Passive seed prototypes</x:v>
      </x:c>
      <x:c r="G6" s="12" t="str">
        <x:v>consumable</x:v>
      </x:c>
      <x:c r="H6" s="12" t="str">
        <x:v>maybe yes</x:v>
      </x:c>
      <x:c r="I6" s="12" t="str">
        <x:v>6 team kits</x:v>
      </x:c>
      <x:c r="J6" s="12" t="str">
        <x:v>15 percent extra</x:v>
      </x:c>
      <x:c r="K6" s="12" t="str">
        <x:v>cardstock paper clips string bundle</x:v>
      </x:c>
      <x:c r="L6" s="12" t="str">
        <x:v>https://www.amazon.com/s?k=cardstock+paper+clips+string</x:v>
      </x:c>
      <x:c r="M6" s="12" t="str"/>
      <x:c r="N6" s="14" t="str"/>
      <x:c r="O6" s="12" t="str">
        <x:v>search URL only</x:v>
      </x:c>
      <x:c r="P6" s="12" t="str">
        <x:v>1</x:v>
      </x:c>
      <x:c r="Q6" s="14" t="n">
        <x:f>IFERROR(N6*P6,0)</x:f>
        <x:v>0</x:v>
      </x:c>
      <x:c r="R6" s="12" t="str">
        <x:v>required</x:v>
      </x:c>
      <x:c r="S6" s="12" t="str">
        <x:v>Use existing office supplies</x:v>
      </x:c>
      <x:c r="T6" s="12" t="str">
        <x:v>yes</x:v>
      </x:c>
      <x:c r="U6" s="12" t="str">
        <x:v>No throwing at people. Low-power fan only.</x:v>
      </x:c>
      <x:c r="V6" s="12" t="str">
        <x:v>Seed bin</x:v>
      </x:c>
      <x:c r="W6" s="12" t="str">
        <x:v>2026-05-27</x:v>
      </x:c>
      <x:c r="X6" s="12" t="str">
        <x:v>https://www.sciencebuddies.org/stem-activities/gone-with-the-wind-plant-seed-dispersal</x:v>
      </x:c>
      <x:c r="Y6" s="12" t="str">
        <x:v>No paper airplane or rocket builds.</x:v>
      </x:c>
    </x:row>
    <x:row r="7">
      <x:c r="A7" s="12" t="str">
        <x:v>From Trees to Tech</x:v>
      </x:c>
      <x:c r="B7" s="12" t="str">
        <x:v>TTT-04</x:v>
      </x:c>
      <x:c r="C7" s="12" t="str">
        <x:v>Xylem Pipeline Relay</x:v>
      </x:c>
      <x:c r="D7" s="12" t="str">
        <x:v>lab supplies</x:v>
      </x:c>
      <x:c r="E7" s="12" t="str">
        <x:v>Paper towels, cotton string, cups, trays</x:v>
      </x:c>
      <x:c r="F7" s="12" t="str">
        <x:v>Capillary transport race</x:v>
      </x:c>
      <x:c r="G7" s="12" t="str">
        <x:v>consumable</x:v>
      </x:c>
      <x:c r="H7" s="12" t="str">
        <x:v>maybe yes</x:v>
      </x:c>
      <x:c r="I7" s="12" t="str">
        <x:v>6 tray stations</x:v>
      </x:c>
      <x:c r="J7" s="12" t="str">
        <x:v>15 percent extra</x:v>
      </x:c>
      <x:c r="K7" s="12" t="str">
        <x:v>paper towels cotton string plastic cups trays</x:v>
      </x:c>
      <x:c r="L7" s="12" t="str">
        <x:v>https://www.amazon.com/s?k=paper+towels+cotton+string+plastic+cups+trays</x:v>
      </x:c>
      <x:c r="M7" s="12" t="str"/>
      <x:c r="N7" s="14" t="str"/>
      <x:c r="O7" s="12" t="str">
        <x:v>search URL only</x:v>
      </x:c>
      <x:c r="P7" s="12" t="str">
        <x:v>1</x:v>
      </x:c>
      <x:c r="Q7" s="14" t="n">
        <x:f>IFERROR(N7*P7,0)</x:f>
        <x:v>0</x:v>
      </x:c>
      <x:c r="R7" s="12" t="str">
        <x:v>required</x:v>
      </x:c>
      <x:c r="S7" s="12" t="str">
        <x:v>Dollar store or school stock</x:v>
      </x:c>
      <x:c r="T7" s="12" t="str">
        <x:v>yes</x:v>
      </x:c>
      <x:c r="U7" s="12" t="str">
        <x:v>Use trays. Wipe spills immediately.</x:v>
      </x:c>
      <x:c r="V7" s="12" t="str">
        <x:v>Water activity bin</x:v>
      </x:c>
      <x:c r="W7" s="12" t="str">
        <x:v>2026-05-27</x:v>
      </x:c>
      <x:c r="X7" s="12" t="str">
        <x:v>https://www.sciencebuddies.org/stem-activities/gone-with-the-wind-plant-seed-dispersal</x:v>
      </x:c>
      <x:c r="Y7" s="12" t="str">
        <x:v>Use washable dye only.</x:v>
      </x:c>
    </x:row>
    <x:row r="8">
      <x:c r="A8" s="12" t="str">
        <x:v>From Trees to Tech</x:v>
      </x:c>
      <x:c r="B8" s="12" t="str">
        <x:v>TTT-05</x:v>
      </x:c>
      <x:c r="C8" s="12" t="str">
        <x:v>Greenhouse Climate Controller Challenge</x:v>
      </x:c>
      <x:c r="D8" s="12" t="str">
        <x:v>printing</x:v>
      </x:c>
      <x:c r="E8" s="12" t="str">
        <x:v>Plant profile cards and control dial boards</x:v>
      </x:c>
      <x:c r="F8" s="12" t="str">
        <x:v>Greenhouse settings game</x:v>
      </x:c>
      <x:c r="G8" s="12" t="str">
        <x:v>reusable</x:v>
      </x:c>
      <x:c r="H8" s="12" t="str">
        <x:v>no</x:v>
      </x:c>
      <x:c r="I8" s="12" t="str">
        <x:v>6 laminated sets</x:v>
      </x:c>
      <x:c r="J8" s="12" t="str">
        <x:v>1 spare set</x:v>
      </x:c>
      <x:c r="K8" s="12" t="str">
        <x:v>local print and laminate</x:v>
      </x:c>
      <x:c r="L8" s="12" t="str">
        <x:v>local purchase</x:v>
      </x:c>
      <x:c r="M8" s="12" t="str"/>
      <x:c r="N8" s="14" t="str">
        <x:v>15</x:v>
      </x:c>
      <x:c r="O8" s="12" t="str">
        <x:v>local estimate</x:v>
      </x:c>
      <x:c r="P8" s="12" t="str">
        <x:v>1</x:v>
      </x:c>
      <x:c r="Q8" s="14" t="n">
        <x:f>IFERROR(N8*P8,0)</x:f>
        <x:v>15</x:v>
      </x:c>
      <x:c r="R8" s="12" t="str">
        <x:v>required</x:v>
      </x:c>
      <x:c r="S8" s="12" t="str">
        <x:v>Sheet protectors instead of lamination</x:v>
      </x:c>
      <x:c r="T8" s="12" t="str">
        <x:v>yes</x:v>
      </x:c>
      <x:c r="U8" s="12" t="str">
        <x:v>Stay on tour route. Do not touch restricted controls.</x:v>
      </x:c>
      <x:c r="V8" s="12" t="str">
        <x:v>Greenhouse folder</x:v>
      </x:c>
      <x:c r="W8" s="12" t="str">
        <x:v>2026-05-27</x:v>
      </x:c>
      <x:c r="X8" s="12" t="str">
        <x:v>https://ambler.temple.edu/campus-resources/greenhouse</x:v>
      </x:c>
      <x:c r="Y8" s="12" t="str">
        <x:v>Use actual tour evidence.</x:v>
      </x:c>
    </x:row>
    <x:row r="9">
      <x:c r="A9" s="12" t="str">
        <x:v>From Trees to Tech</x:v>
      </x:c>
      <x:c r="B9" s="12" t="str">
        <x:v>TTT-06</x:v>
      </x:c>
      <x:c r="C9" s="12" t="str">
        <x:v>Pinecone Weather Machine Challenge</x:v>
      </x:c>
      <x:c r="D9" s="12" t="str">
        <x:v>natural material</x:v>
      </x:c>
      <x:c r="E9" s="12" t="str">
        <x:v>Dry pine cones</x:v>
      </x:c>
      <x:c r="F9" s="12" t="str">
        <x:v>Humidity-responsive device</x:v>
      </x:c>
      <x:c r="G9" s="12" t="str">
        <x:v>reusable</x:v>
      </x:c>
      <x:c r="H9" s="12" t="str">
        <x:v>maybe no</x:v>
      </x:c>
      <x:c r="I9" s="12" t="str">
        <x:v>12 to 18 cones</x:v>
      </x:c>
      <x:c r="J9" s="12" t="str">
        <x:v>3 spare</x:v>
      </x:c>
      <x:c r="K9" s="12" t="str">
        <x:v>local nature collection</x:v>
      </x:c>
      <x:c r="L9" s="12" t="str">
        <x:v>local collection</x:v>
      </x:c>
      <x:c r="M9" s="12" t="str"/>
      <x:c r="N9" s="14" t="str">
        <x:v>0</x:v>
      </x:c>
      <x:c r="O9" s="12" t="str">
        <x:v>local estimate</x:v>
      </x:c>
      <x:c r="P9" s="12" t="str">
        <x:v>1</x:v>
      </x:c>
      <x:c r="Q9" s="14" t="n">
        <x:f>IFERROR(N9*P9,0)</x:f>
        <x:v>0</x:v>
      </x:c>
      <x:c r="R9" s="12" t="str">
        <x:v>recommended</x:v>
      </x:c>
      <x:c r="S9" s="12" t="str">
        <x:v>Ask grounds crew</x:v>
      </x:c>
      <x:c r="T9" s="12" t="str">
        <x:v>yes</x:v>
      </x:c>
      <x:c r="U9" s="12" t="str">
        <x:v>Inspect for insects, sap, and sharp edges.</x:v>
      </x:c>
      <x:c r="V9" s="12" t="str">
        <x:v>Dry natural-materials bin</x:v>
      </x:c>
      <x:c r="W9" s="12" t="str">
        <x:v>2026-05-27</x:v>
      </x:c>
      <x:c r="X9" s="12" t="str">
        <x:v>https://asknature.org/strategy/pine-cones-open-and-close-in-response-to-weather/</x:v>
      </x:c>
      <x:c r="Y9" s="12" t="str">
        <x:v>Dry before use.</x:v>
      </x:c>
    </x:row>
    <x:row r="10">
      <x:c r="A10" s="12" t="str">
        <x:v>From Trees to Tech</x:v>
      </x:c>
      <x:c r="B10" s="12" t="str">
        <x:v>TTT-06</x:v>
      </x:c>
      <x:c r="C10" s="12" t="str">
        <x:v>Pinecone Weather Machine Challenge</x:v>
      </x:c>
      <x:c r="D10" s="12" t="str">
        <x:v>supplies</x:v>
      </x:c>
      <x:c r="E10" s="12" t="str">
        <x:v>Spray bottles, index cards, skewers, rulers</x:v>
      </x:c>
      <x:c r="F10" s="12" t="str">
        <x:v>Weather machine build</x:v>
      </x:c>
      <x:c r="G10" s="12" t="str">
        <x:v>mixed</x:v>
      </x:c>
      <x:c r="H10" s="12" t="str">
        <x:v>maybe yes</x:v>
      </x:c>
      <x:c r="I10" s="12" t="str">
        <x:v>6 stations</x:v>
      </x:c>
      <x:c r="J10" s="12" t="str">
        <x:v>15 percent extra</x:v>
      </x:c>
      <x:c r="K10" s="12" t="str">
        <x:v>spray bottles index cards skewers rulers</x:v>
      </x:c>
      <x:c r="L10" s="12" t="str">
        <x:v>https://www.amazon.com/s?k=spray+bottles+index+cards+skewers+rulers</x:v>
      </x:c>
      <x:c r="M10" s="12" t="str"/>
      <x:c r="N10" s="14" t="str"/>
      <x:c r="O10" s="12" t="str">
        <x:v>search URL only</x:v>
      </x:c>
      <x:c r="P10" s="12" t="str">
        <x:v>1</x:v>
      </x:c>
      <x:c r="Q10" s="14" t="n">
        <x:f>IFERROR(N10*P10,0)</x:f>
        <x:v>0</x:v>
      </x:c>
      <x:c r="R10" s="12" t="str">
        <x:v>required</x:v>
      </x:c>
      <x:c r="S10" s="12" t="str">
        <x:v>Use existing classroom supplies</x:v>
      </x:c>
      <x:c r="T10" s="12" t="str">
        <x:v>yes</x:v>
      </x:c>
      <x:c r="U10" s="12" t="str">
        <x:v>Keep floors dry after spray.</x:v>
      </x:c>
      <x:c r="V10" s="12" t="str">
        <x:v>Weather machine bin</x:v>
      </x:c>
      <x:c r="W10" s="12" t="str">
        <x:v>2026-05-27</x:v>
      </x:c>
      <x:c r="X10" s="12" t="str">
        <x:v>https://asknature.org/strategy/pine-cones-open-and-close-in-response-to-weather/</x:v>
      </x:c>
      <x:c r="Y10" s="12" t="str">
        <x:v>Table-based.</x:v>
      </x:c>
    </x:row>
    <x:row r="11">
      <x:c r="A11" s="12" t="str">
        <x:v>From Trees to Tech</x:v>
      </x:c>
      <x:c r="B11" s="12" t="str">
        <x:v>TTT-07</x:v>
      </x:c>
      <x:c r="C11" s="12" t="str">
        <x:v>Pollinator Network Draft and Build</x:v>
      </x:c>
      <x:c r="D11" s="12" t="str">
        <x:v>printing</x:v>
      </x:c>
      <x:c r="E11" s="12" t="str">
        <x:v>Plant and pollinator card decks</x:v>
      </x:c>
      <x:c r="F11" s="12" t="str">
        <x:v>Pollinator habitat strategy game</x:v>
      </x:c>
      <x:c r="G11" s="12" t="str">
        <x:v>reusable</x:v>
      </x:c>
      <x:c r="H11" s="12" t="str">
        <x:v>no</x:v>
      </x:c>
      <x:c r="I11" s="12" t="str">
        <x:v>6 decks</x:v>
      </x:c>
      <x:c r="J11" s="12" t="str">
        <x:v>1 spare deck</x:v>
      </x:c>
      <x:c r="K11" s="12" t="str">
        <x:v>local print and laminate</x:v>
      </x:c>
      <x:c r="L11" s="12" t="str">
        <x:v>local purchase</x:v>
      </x:c>
      <x:c r="M11" s="12" t="str"/>
      <x:c r="N11" s="14" t="str">
        <x:v>25</x:v>
      </x:c>
      <x:c r="O11" s="12" t="str">
        <x:v>local estimate</x:v>
      </x:c>
      <x:c r="P11" s="12" t="str">
        <x:v>1</x:v>
      </x:c>
      <x:c r="Q11" s="14" t="n">
        <x:f>IFERROR(N11*P11,0)</x:f>
        <x:v>25</x:v>
      </x:c>
      <x:c r="R11" s="12" t="str">
        <x:v>required</x:v>
      </x:c>
      <x:c r="S11" s="12" t="str">
        <x:v>Sheet protectors</x:v>
      </x:c>
      <x:c r="T11" s="12" t="str">
        <x:v>yes</x:v>
      </x:c>
      <x:c r="U11" s="12" t="str">
        <x:v>No live insects.</x:v>
      </x:c>
      <x:c r="V11" s="12" t="str">
        <x:v>Pollinator folder</x:v>
      </x:c>
      <x:c r="W11" s="12" t="str">
        <x:v>2026-05-27</x:v>
      </x:c>
      <x:c r="X11" s="12" t="str">
        <x:v>https://www.usda.gov/farming-and-ranching/plants-and-crops/plant-breeding/pollinators</x:v>
      </x:c>
      <x:c r="Y11" s="12" t="str">
        <x:v>Print in color if possible.</x:v>
      </x:c>
    </x:row>
    <x:row r="12">
      <x:c r="A12" s="12" t="str">
        <x:v>From Trees to Tech</x:v>
      </x:c>
      <x:c r="B12" s="12" t="str">
        <x:v>TTT-08</x:v>
      </x:c>
      <x:c r="C12" s="12" t="str">
        <x:v>Arboretum Eco-Quest</x:v>
      </x:c>
      <x:c r="D12" s="12" t="str">
        <x:v>printing</x:v>
      </x:c>
      <x:c r="E12" s="12" t="str">
        <x:v>Clue cards, maps, evidence tokens</x:v>
      </x:c>
      <x:c r="F12" s="12" t="str">
        <x:v>Outdoor checkpoint challenge</x:v>
      </x:c>
      <x:c r="G12" s="12" t="str">
        <x:v>reusable</x:v>
      </x:c>
      <x:c r="H12" s="12" t="str">
        <x:v>no</x:v>
      </x:c>
      <x:c r="I12" s="12" t="str">
        <x:v>6 route packs</x:v>
      </x:c>
      <x:c r="J12" s="12" t="str">
        <x:v>1 spare pack</x:v>
      </x:c>
      <x:c r="K12" s="12" t="str">
        <x:v>local print and laminate</x:v>
      </x:c>
      <x:c r="L12" s="12" t="str">
        <x:v>local purchase</x:v>
      </x:c>
      <x:c r="M12" s="12" t="str"/>
      <x:c r="N12" s="14" t="str">
        <x:v>20</x:v>
      </x:c>
      <x:c r="O12" s="12" t="str">
        <x:v>local estimate</x:v>
      </x:c>
      <x:c r="P12" s="12" t="str">
        <x:v>1</x:v>
      </x:c>
      <x:c r="Q12" s="14" t="n">
        <x:f>IFERROR(N12*P12,0)</x:f>
        <x:v>20</x:v>
      </x:c>
      <x:c r="R12" s="12" t="str">
        <x:v>required</x:v>
      </x:c>
      <x:c r="S12" s="12" t="str">
        <x:v>Black and white route cards</x:v>
      </x:c>
      <x:c r="T12" s="12" t="str">
        <x:v>yes</x:v>
      </x:c>
      <x:c r="U12" s="12" t="str">
        <x:v>Buddy system. Approved route only.</x:v>
      </x:c>
      <x:c r="V12" s="12" t="str">
        <x:v>Arboretum folder</x:v>
      </x:c>
      <x:c r="W12" s="12" t="str">
        <x:v>2026-05-27</x:v>
      </x:c>
      <x:c r="X12" s="12" t="str">
        <x:v>https://observer.globe.gov/do-globe-observer/trees</x:v>
      </x:c>
      <x:c r="Y12" s="12" t="str">
        <x:v>Confirm route with host.</x:v>
      </x:c>
    </x:row>
    <x:row r="13">
      <x:c r="A13" s="12" t="str">
        <x:v>From Trees to Tech</x:v>
      </x:c>
      <x:c r="B13" s="12" t="str">
        <x:v>TTT-09</x:v>
      </x:c>
      <x:c r="C13" s="12" t="str">
        <x:v>Minecraft Tree World Resilience Cup</x:v>
      </x:c>
      <x:c r="D13" s="12" t="str">
        <x:v>software</x:v>
      </x:c>
      <x:c r="E13" s="12" t="str">
        <x:v>Minecraft Education devices and world template</x:v>
      </x:c>
      <x:c r="F13" s="12" t="str">
        <x:v>Digital ecosystem build</x:v>
      </x:c>
      <x:c r="G13" s="12" t="str">
        <x:v>reusable</x:v>
      </x:c>
      <x:c r="H13" s="12" t="str">
        <x:v>unknown</x:v>
      </x:c>
      <x:c r="I13" s="12" t="str">
        <x:v>6 devices plus projector</x:v>
      </x:c>
      <x:c r="J13" s="12" t="str">
        <x:v>0</x:v>
      </x:c>
      <x:c r="K13" s="12" t="str">
        <x:v>Minecraft Education licenses</x:v>
      </x:c>
      <x:c r="L13" s="12" t="str">
        <x:v>https://education.minecraft.net/en-us</x:v>
      </x:c>
      <x:c r="M13" s="12" t="str"/>
      <x:c r="N13" s="14" t="str">
        <x:v>0</x:v>
      </x:c>
      <x:c r="O13" s="12" t="str">
        <x:v>borrow</x:v>
      </x:c>
      <x:c r="P13" s="12" t="str">
        <x:v>0</x:v>
      </x:c>
      <x:c r="Q13" s="14" t="n">
        <x:f>IFERROR(N13*P13,0)</x:f>
        <x:v>0</x:v>
      </x:c>
      <x:c r="R13" s="12" t="str">
        <x:v>required</x:v>
      </x:c>
      <x:c r="S13" s="12" t="str">
        <x:v>Paper resilience design board</x:v>
      </x:c>
      <x:c r="T13" s="12" t="str">
        <x:v>yes</x:v>
      </x:c>
      <x:c r="U13" s="12" t="str">
        <x:v>Standard device use and login management.</x:v>
      </x:c>
      <x:c r="V13" s="12" t="str">
        <x:v>Digital kit</x:v>
      </x:c>
      <x:c r="W13" s="12" t="str">
        <x:v>2026-05-27</x:v>
      </x:c>
      <x:c r="X13" s="12" t="str">
        <x:v>https://education.minecraft.net/en-us/resources/science/biodiversity</x:v>
      </x:c>
      <x:c r="Y13" s="12" t="str">
        <x:v>Confirm licensing.</x:v>
      </x:c>
    </x:row>
    <x:row r="14">
      <x:c r="A14" s="12" t="str">
        <x:v>From Trees to Tech</x:v>
      </x:c>
      <x:c r="B14" s="12" t="str">
        <x:v>TTT-10</x:v>
      </x:c>
      <x:c r="C14" s="12" t="str">
        <x:v>Tree Ring Climate Detective Tournament</x:v>
      </x:c>
      <x:c r="D14" s="12" t="str">
        <x:v>printing</x:v>
      </x:c>
      <x:c r="E14" s="12" t="str">
        <x:v>Tree ring image cards and answer boards</x:v>
      </x:c>
      <x:c r="F14" s="12" t="str">
        <x:v>Climate proxy data tournament</x:v>
      </x:c>
      <x:c r="G14" s="12" t="str">
        <x:v>reusable</x:v>
      </x:c>
      <x:c r="H14" s="12" t="str">
        <x:v>no</x:v>
      </x:c>
      <x:c r="I14" s="12" t="str">
        <x:v>6 sets</x:v>
      </x:c>
      <x:c r="J14" s="12" t="str">
        <x:v>1 spare</x:v>
      </x:c>
      <x:c r="K14" s="12" t="str">
        <x:v>local print and laminate</x:v>
      </x:c>
      <x:c r="L14" s="12" t="str">
        <x:v>local purchase</x:v>
      </x:c>
      <x:c r="M14" s="12" t="str"/>
      <x:c r="N14" s="14" t="str">
        <x:v>20</x:v>
      </x:c>
      <x:c r="O14" s="12" t="str">
        <x:v>local estimate</x:v>
      </x:c>
      <x:c r="P14" s="12" t="str">
        <x:v>1</x:v>
      </x:c>
      <x:c r="Q14" s="14" t="n">
        <x:f>IFERROR(N14*P14,0)</x:f>
        <x:v>20</x:v>
      </x:c>
      <x:c r="R14" s="12" t="str">
        <x:v>required</x:v>
      </x:c>
      <x:c r="S14" s="12" t="str">
        <x:v>Wood cookies if already owned</x:v>
      </x:c>
      <x:c r="T14" s="12" t="str">
        <x:v>yes</x:v>
      </x:c>
      <x:c r="U14" s="12" t="str">
        <x:v>Inspect wood slices for splinters if used.</x:v>
      </x:c>
      <x:c r="V14" s="12" t="str">
        <x:v>Tree ring folder</x:v>
      </x:c>
      <x:c r="W14" s="12" t="str">
        <x:v>2026-05-27</x:v>
      </x:c>
      <x:c r="X14" s="12" t="str">
        <x:v>https://www.ncei.noaa.gov/products/paleoclimatology/tree-ring</x:v>
      </x:c>
      <x:c r="Y14" s="12" t="str">
        <x:v>Use printed images for safer reset.</x:v>
      </x:c>
    </x:row>
    <x:row r="15">
      <x:c r="A15" s="12" t="str">
        <x:v>From Trees to Tech</x:v>
      </x:c>
      <x:c r="B15" s="12" t="str">
        <x:v>TTT-11</x:v>
      </x:c>
      <x:c r="C15" s="12" t="str">
        <x:v>Lotus Leaf Surface Sprint</x:v>
      </x:c>
      <x:c r="D15" s="12" t="str">
        <x:v>lab supplies</x:v>
      </x:c>
      <x:c r="E15" s="12" t="str">
        <x:v>Pipettes, wax paper, sandpaper, ramps</x:v>
      </x:c>
      <x:c r="F15" s="12" t="str">
        <x:v>Hydrophobic surface tests</x:v>
      </x:c>
      <x:c r="G15" s="12" t="str">
        <x:v>mixed</x:v>
      </x:c>
      <x:c r="H15" s="12" t="str">
        <x:v>maybe no</x:v>
      </x:c>
      <x:c r="I15" s="12" t="str">
        <x:v>6 team sets</x:v>
      </x:c>
      <x:c r="J15" s="12" t="str">
        <x:v>15 percent extra</x:v>
      </x:c>
      <x:c r="K15" s="12" t="str">
        <x:v>transfer pipettes wax paper sandpaper</x:v>
      </x:c>
      <x:c r="L15" s="12" t="str">
        <x:v>https://www.amazon.com/s?k=transfer+pipettes+wax+paper+sandpaper</x:v>
      </x:c>
      <x:c r="M15" s="12" t="str"/>
      <x:c r="N15" s="14" t="str"/>
      <x:c r="O15" s="12" t="str">
        <x:v>search URL only</x:v>
      </x:c>
      <x:c r="P15" s="12" t="str">
        <x:v>1</x:v>
      </x:c>
      <x:c r="Q15" s="14" t="n">
        <x:f>IFERROR(N15*P15,0)</x:f>
        <x:v>0</x:v>
      </x:c>
      <x:c r="R15" s="12" t="str">
        <x:v>required</x:v>
      </x:c>
      <x:c r="S15" s="12" t="str">
        <x:v>Science stockroom</x:v>
      </x:c>
      <x:c r="T15" s="12" t="str">
        <x:v>yes</x:v>
      </x:c>
      <x:c r="U15" s="12" t="str">
        <x:v>Keep floors dry. Washable dirt proxy only.</x:v>
      </x:c>
      <x:c r="V15" s="12" t="str">
        <x:v>Surface sprint bin</x:v>
      </x:c>
      <x:c r="W15" s="12" t="str">
        <x:v>2026-05-27</x:v>
      </x:c>
      <x:c r="X15" s="12" t="str">
        <x:v>https://asknature.org/strategy/surface-allows-self-cleaning/</x:v>
      </x:c>
      <x:c r="Y15" s="12" t="str">
        <x:v>No major staining.</x:v>
      </x:c>
    </x:row>
    <x:row r="16">
      <x:c r="A16" s="12" t="str">
        <x:v>From Trees to Tech</x:v>
      </x:c>
      <x:c r="B16" s="12" t="str">
        <x:v>TTT-12</x:v>
      </x:c>
      <x:c r="C16" s="12" t="str">
        <x:v>Leaf Stomata Microscope Detective</x:v>
      </x:c>
      <x:c r="D16" s="12" t="str">
        <x:v>lab supplies</x:v>
      </x:c>
      <x:c r="E16" s="12" t="str">
        <x:v>Clear nail polish, tape, leaf samples</x:v>
      </x:c>
      <x:c r="F16" s="12" t="str">
        <x:v>Leaf peel microscopy detective activity</x:v>
      </x:c>
      <x:c r="G16" s="12" t="str">
        <x:v>consumable</x:v>
      </x:c>
      <x:c r="H16" s="12" t="str">
        <x:v>no</x:v>
      </x:c>
      <x:c r="I16" s="12" t="str">
        <x:v>6 team sets</x:v>
      </x:c>
      <x:c r="J16" s="12" t="str">
        <x:v>15 percent extra</x:v>
      </x:c>
      <x:c r="K16" s="12" t="str">
        <x:v>clear nail polish tape microscope slides</x:v>
      </x:c>
      <x:c r="L16" s="12" t="str">
        <x:v>https://www.amazon.com/s?k=clear+nail+polish+tape+microscope+slides</x:v>
      </x:c>
      <x:c r="M16" s="12" t="str"/>
      <x:c r="N16" s="14" t="str"/>
      <x:c r="O16" s="12" t="str">
        <x:v>search URL only</x:v>
      </x:c>
      <x:c r="P16" s="12" t="str">
        <x:v>1</x:v>
      </x:c>
      <x:c r="Q16" s="14" t="n">
        <x:f>IFERROR(N16*P16,0)</x:f>
        <x:v>0</x:v>
      </x:c>
      <x:c r="R16" s="12" t="str">
        <x:v>required</x:v>
      </x:c>
      <x:c r="S16" s="12" t="str">
        <x:v>Use phone macro lens and prepared peels</x:v>
      </x:c>
      <x:c r="T16" s="12" t="str">
        <x:v>yes</x:v>
      </x:c>
      <x:c r="U16" s="12" t="str">
        <x:v>Ventilation for nail polish. Gloves optional.</x:v>
      </x:c>
      <x:c r="V16" s="12" t="str">
        <x:v>Stomata bin</x:v>
      </x:c>
      <x:c r="W16" s="12" t="str">
        <x:v>2026-05-27</x:v>
      </x:c>
      <x:c r="X16" s="12" t="str">
        <x:v>https://observer.globe.gov/do-globe-observer/trees</x:v>
      </x:c>
      <x:c r="Y16" s="12" t="str">
        <x:v>Legacy-safe replacement.</x:v>
      </x:c>
    </x:row>
    <x:row r="17">
      <x:c r="A17" s="12" t="str">
        <x:v>From Trees to Tech</x:v>
      </x:c>
      <x:c r="B17" s="12" t="str">
        <x:v>TTT-12</x:v>
      </x:c>
      <x:c r="C17" s="12" t="str">
        <x:v>Leaf Stomata Microscope Detective</x:v>
      </x:c>
      <x:c r="D17" s="12" t="str">
        <x:v>equipment</x:v>
      </x:c>
      <x:c r="E17" s="12" t="str">
        <x:v>USB digital microscope or classroom microscopes</x:v>
      </x:c>
      <x:c r="F17" s="12" t="str">
        <x:v>View and count stomata</x:v>
      </x:c>
      <x:c r="G17" s="12" t="str">
        <x:v>reusable</x:v>
      </x:c>
      <x:c r="H17" s="12" t="str">
        <x:v>unknown</x:v>
      </x:c>
      <x:c r="I17" s="12" t="str">
        <x:v>2 to 6 scopes</x:v>
      </x:c>
      <x:c r="J17" s="12" t="str">
        <x:v>0</x:v>
      </x:c>
      <x:c r="K17" s="12" t="str">
        <x:v>USB digital microscope 1000x search</x:v>
      </x:c>
      <x:c r="L17" s="12" t="str">
        <x:v>https://www.amazon.com/s?k=usb+digital+microscope+1000x</x:v>
      </x:c>
      <x:c r="M17" s="12" t="str"/>
      <x:c r="N17" s="14" t="str"/>
      <x:c r="O17" s="12" t="str">
        <x:v>search URL only</x:v>
      </x:c>
      <x:c r="P17" s="12" t="str">
        <x:v>2</x:v>
      </x:c>
      <x:c r="Q17" s="14" t="n">
        <x:f>IFERROR(N17*P17,0)</x:f>
        <x:v>0</x:v>
      </x:c>
      <x:c r="R17" s="12" t="str">
        <x:v>recommended</x:v>
      </x:c>
      <x:c r="S17" s="12" t="str">
        <x:v>Borrow microscopes</x:v>
      </x:c>
      <x:c r="T17" s="12" t="str">
        <x:v>yes</x:v>
      </x:c>
      <x:c r="U17" s="12" t="str"/>
      <x:c r="V17" s="12" t="str">
        <x:v>Microscope case</x:v>
      </x:c>
      <x:c r="W17" s="12" t="str">
        <x:v>2026-05-27</x:v>
      </x:c>
      <x:c r="X17" s="12" t="str">
        <x:v>https://observer.globe.gov/do-globe-observer/trees</x:v>
      </x:c>
      <x:c r="Y17" s="12" t="str">
        <x:v>Borrow strongly preferred.</x:v>
      </x:c>
    </x:row>
    <x:row r="18">
      <x:c r="A18" s="12" t="str">
        <x:v>PY-STEM</x:v>
      </x:c>
      <x:c r="B18" s="12" t="str">
        <x:v>PYS-01</x:v>
      </x:c>
      <x:c r="C18" s="12" t="str">
        <x:v>Magnetic Capsule Maze Cup</x:v>
      </x:c>
      <x:c r="D18" s="12" t="str">
        <x:v>printing/build</x:v>
      </x:c>
      <x:c r="E18" s="12" t="str">
        <x:v>Maze boards, barrier sheets, steel tokens</x:v>
      </x:c>
      <x:c r="F18" s="12" t="str">
        <x:v>Maze simulation</x:v>
      </x:c>
      <x:c r="G18" s="12" t="str">
        <x:v>reusable</x:v>
      </x:c>
      <x:c r="H18" s="12" t="str">
        <x:v>no</x:v>
      </x:c>
      <x:c r="I18" s="12" t="str">
        <x:v>6 boards</x:v>
      </x:c>
      <x:c r="J18" s="12" t="str">
        <x:v>1 spare</x:v>
      </x:c>
      <x:c r="K18" s="12" t="str">
        <x:v>local print and plastic sleeves</x:v>
      </x:c>
      <x:c r="L18" s="12" t="str">
        <x:v>local purchase</x:v>
      </x:c>
      <x:c r="M18" s="12" t="str"/>
      <x:c r="N18" s="14" t="str">
        <x:v>10</x:v>
      </x:c>
      <x:c r="O18" s="12" t="str">
        <x:v>local estimate</x:v>
      </x:c>
      <x:c r="P18" s="12" t="str">
        <x:v>1</x:v>
      </x:c>
      <x:c r="Q18" s="14" t="n">
        <x:f>IFERROR(N18*P18,0)</x:f>
        <x:v>10</x:v>
      </x:c>
      <x:c r="R18" s="12" t="str">
        <x:v>required</x:v>
      </x:c>
      <x:c r="S18" s="12" t="str">
        <x:v>Laminate paper mazes</x:v>
      </x:c>
      <x:c r="T18" s="12" t="str">
        <x:v>yes</x:v>
      </x:c>
      <x:c r="U18" s="12" t="str">
        <x:v>No magnets in pockets.</x:v>
      </x:c>
      <x:c r="V18" s="12" t="str">
        <x:v>Magnetic maze bin</x:v>
      </x:c>
      <x:c r="W18" s="12" t="str">
        <x:v>2026-05-27</x:v>
      </x:c>
      <x:c r="X18" s="12" t="str">
        <x:v>https://www.sciencemuseumgroup.org.uk/learning/resources/magnetic-maze</x:v>
      </x:c>
      <x:c r="Y18" s="12" t="str">
        <x:v>Table-based.</x:v>
      </x:c>
    </x:row>
    <x:row r="19">
      <x:c r="A19" s="12" t="str">
        <x:v>PY-STEM</x:v>
      </x:c>
      <x:c r="B19" s="12" t="str">
        <x:v>PYS-02</x:v>
      </x:c>
      <x:c r="C19" s="12" t="str">
        <x:v>Oobleck Armor Arena</x:v>
      </x:c>
      <x:c r="D19" s="12" t="str">
        <x:v>grocery</x:v>
      </x:c>
      <x:c r="E19" s="12" t="str">
        <x:v>Cornstarch and zip bags</x:v>
      </x:c>
      <x:c r="F19" s="12" t="str">
        <x:v>Non-Newtonian armor pads</x:v>
      </x:c>
      <x:c r="G19" s="12" t="str">
        <x:v>consumable</x:v>
      </x:c>
      <x:c r="H19" s="12" t="str">
        <x:v>no</x:v>
      </x:c>
      <x:c r="I19" s="12" t="str">
        <x:v>6 team stations</x:v>
      </x:c>
      <x:c r="J19" s="12" t="str">
        <x:v>15 percent extra</x:v>
      </x:c>
      <x:c r="K19" s="12" t="str">
        <x:v>cornstarch bulk and zip bags</x:v>
      </x:c>
      <x:c r="L19" s="12" t="str">
        <x:v>https://www.amazon.com/s?k=cornstarch+bulk+zip+bags</x:v>
      </x:c>
      <x:c r="M19" s="12" t="str"/>
      <x:c r="N19" s="14" t="str"/>
      <x:c r="O19" s="12" t="str">
        <x:v>search URL only</x:v>
      </x:c>
      <x:c r="P19" s="12" t="str">
        <x:v>1</x:v>
      </x:c>
      <x:c r="Q19" s="14" t="n">
        <x:f>IFERROR(N19*P19,0)</x:f>
        <x:v>0</x:v>
      </x:c>
      <x:c r="R19" s="12" t="str">
        <x:v>required</x:v>
      </x:c>
      <x:c r="S19" s="12" t="str">
        <x:v>Local grocery</x:v>
      </x:c>
      <x:c r="T19" s="12" t="str">
        <x:v>yes</x:v>
      </x:c>
      <x:c r="U19" s="12" t="str">
        <x:v>Corn allergy note. No eating. Double-bag.</x:v>
      </x:c>
      <x:c r="V19" s="12" t="str">
        <x:v>Oobleck bin</x:v>
      </x:c>
      <x:c r="W19" s="12" t="str">
        <x:v>2026-05-27</x:v>
      </x:c>
      <x:c r="X19" s="12" t="str">
        <x:v>https://www.sciencebuddies.org/stem-activities/oobleck-colloid</x:v>
      </x:c>
      <x:c r="Y19" s="12" t="str">
        <x:v>Clean immediately.</x:v>
      </x:c>
    </x:row>
    <x:row r="20">
      <x:c r="A20" s="12" t="str">
        <x:v>PY-STEM</x:v>
      </x:c>
      <x:c r="B20" s="12" t="str">
        <x:v>PYS-03</x:v>
      </x:c>
      <x:c r="C20" s="12" t="str">
        <x:v>Cardboard Automata Arcade</x:v>
      </x:c>
      <x:c r="D20" s="12" t="str">
        <x:v>build supplies</x:v>
      </x:c>
      <x:c r="E20" s="12" t="str">
        <x:v>Cardboard, skewers, straws, craft sticks</x:v>
      </x:c>
      <x:c r="F20" s="12" t="str">
        <x:v>Cam and follower automata</x:v>
      </x:c>
      <x:c r="G20" s="12" t="str">
        <x:v>consumable</x:v>
      </x:c>
      <x:c r="H20" s="12" t="str">
        <x:v>maybe yes</x:v>
      </x:c>
      <x:c r="I20" s="12" t="str">
        <x:v>6 team kits</x:v>
      </x:c>
      <x:c r="J20" s="12" t="str">
        <x:v>15 percent extra</x:v>
      </x:c>
      <x:c r="K20" s="12" t="str">
        <x:v>craft sticks skewers straws bulk</x:v>
      </x:c>
      <x:c r="L20" s="12" t="str">
        <x:v>https://www.amazon.com/s?k=craft+sticks+skewers+straws+bulk</x:v>
      </x:c>
      <x:c r="M20" s="12" t="str"/>
      <x:c r="N20" s="14" t="str"/>
      <x:c r="O20" s="12" t="str">
        <x:v>search URL only</x:v>
      </x:c>
      <x:c r="P20" s="12" t="str">
        <x:v>1</x:v>
      </x:c>
      <x:c r="Q20" s="14" t="n">
        <x:f>IFERROR(N20*P20,0)</x:f>
        <x:v>0</x:v>
      </x:c>
      <x:c r="R20" s="12" t="str">
        <x:v>required</x:v>
      </x:c>
      <x:c r="S20" s="12" t="str">
        <x:v>Reuse cardboard</x:v>
      </x:c>
      <x:c r="T20" s="12" t="str">
        <x:v>yes</x:v>
      </x:c>
      <x:c r="U20" s="12" t="str">
        <x:v>Hot glue staff-supervised.</x:v>
      </x:c>
      <x:c r="V20" s="12" t="str">
        <x:v>Automata bin</x:v>
      </x:c>
      <x:c r="W20" s="12" t="str">
        <x:v>2026-05-27</x:v>
      </x:c>
      <x:c r="X20" s="12" t="str">
        <x:v>https://www.exploratorium.edu/tinkering/projects/cardboard-automata</x:v>
      </x:c>
      <x:c r="Y20" s="12" t="str">
        <x:v>Prep sample cam.</x:v>
      </x:c>
    </x:row>
    <x:row r="21">
      <x:c r="A21" s="12" t="str">
        <x:v>PY-STEM</x:v>
      </x:c>
      <x:c r="B21" s="12" t="str">
        <x:v>PYS-04</x:v>
      </x:c>
      <x:c r="C21" s="12" t="str">
        <x:v>Stethoscope Sprint and Recovery Challenge</x:v>
      </x:c>
      <x:c r="D21" s="12" t="str">
        <x:v>tubing/funnels</x:v>
      </x:c>
      <x:c r="E21" s="12" t="str">
        <x:v>Plastic funnels and flexible tubing</x:v>
      </x:c>
      <x:c r="F21" s="12" t="str">
        <x:v>Homemade stethoscope</x:v>
      </x:c>
      <x:c r="G21" s="12" t="str">
        <x:v>reusable</x:v>
      </x:c>
      <x:c r="H21" s="12" t="str">
        <x:v>maybe no</x:v>
      </x:c>
      <x:c r="I21" s="12" t="str">
        <x:v>6 to 12 funnels, 30 ft tubing</x:v>
      </x:c>
      <x:c r="J21" s="12" t="str">
        <x:v>15 percent extra</x:v>
      </x:c>
      <x:c r="K21" s="12" t="str">
        <x:v>Norpro Plastic Funnel Set of 3 and vinyl tubing</x:v>
      </x:c>
      <x:c r="L21" s="12" t="str">
        <x:v>https://www.amazon.com/dp/B000HJBFC6</x:v>
      </x:c>
      <x:c r="M21" s="12" t="str">
        <x:v>B000HJBFC6</x:v>
      </x:c>
      <x:c r="N21" s="14" t="str"/>
      <x:c r="O21" s="12" t="str">
        <x:v>unverified</x:v>
      </x:c>
      <x:c r="P21" s="12" t="str">
        <x:v>4</x:v>
      </x:c>
      <x:c r="Q21" s="14" t="n">
        <x:f>IFERROR(N21*P21,0)</x:f>
        <x:v>0</x:v>
      </x:c>
      <x:c r="R21" s="12" t="str">
        <x:v>recommended</x:v>
      </x:c>
      <x:c r="S21" s="12" t="str">
        <x:v>Dollar-store funnels and hardware-store tubing</x:v>
      </x:c>
      <x:c r="T21" s="12" t="str">
        <x:v>yes</x:v>
      </x:c>
      <x:c r="U21" s="12" t="str">
        <x:v>Sanitize shared parts. No forced heart-rate measurement.</x:v>
      </x:c>
      <x:c r="V21" s="12" t="str">
        <x:v>Biomedical bin</x:v>
      </x:c>
      <x:c r="W21" s="12" t="str">
        <x:v>2026-05-27</x:v>
      </x:c>
      <x:c r="X21" s="12" t="str">
        <x:v>https://www.sciencebuddies.org/stem-activities/make-stethoscope</x:v>
      </x:c>
      <x:c r="Y21" s="12" t="str">
        <x:v>Price hidden or not confirmed.</x:v>
      </x:c>
    </x:row>
    <x:row r="22">
      <x:c r="A22" s="12" t="str">
        <x:v>PY-STEM</x:v>
      </x:c>
      <x:c r="B22" s="12" t="str">
        <x:v>PYS-04</x:v>
      </x:c>
      <x:c r="C22" s="12" t="str">
        <x:v>Stethoscope Sprint and Recovery Challenge</x:v>
      </x:c>
      <x:c r="D22" s="12" t="str">
        <x:v>sanitation</x:v>
      </x:c>
      <x:c r="E22" s="12" t="str">
        <x:v>Sanitizing wipes</x:v>
      </x:c>
      <x:c r="F22" s="12" t="str">
        <x:v>Shared device cleaning</x:v>
      </x:c>
      <x:c r="G22" s="12" t="str">
        <x:v>consumable</x:v>
      </x:c>
      <x:c r="H22" s="12" t="str">
        <x:v>maybe yes</x:v>
      </x:c>
      <x:c r="I22" s="12" t="str">
        <x:v>1 tub</x:v>
      </x:c>
      <x:c r="J22" s="12" t="str">
        <x:v>1 spare if available</x:v>
      </x:c>
      <x:c r="K22" s="12" t="str">
        <x:v>disinfecting wipes classroom</x:v>
      </x:c>
      <x:c r="L22" s="12" t="str">
        <x:v>https://www.amazon.com/s?k=disinfecting+wipes+classroom</x:v>
      </x:c>
      <x:c r="M22" s="12" t="str"/>
      <x:c r="N22" s="14" t="str"/>
      <x:c r="O22" s="12" t="str">
        <x:v>search URL only</x:v>
      </x:c>
      <x:c r="P22" s="12" t="str">
        <x:v>1</x:v>
      </x:c>
      <x:c r="Q22" s="14" t="n">
        <x:f>IFERROR(N22*P22,0)</x:f>
        <x:v>0</x:v>
      </x:c>
      <x:c r="R22" s="12" t="str">
        <x:v>required</x:v>
      </x:c>
      <x:c r="S22" s="12" t="str">
        <x:v>School nurse supply</x:v>
      </x:c>
      <x:c r="T22" s="12" t="str">
        <x:v>yes</x:v>
      </x:c>
      <x:c r="U22" s="12" t="str">
        <x:v>Follow site policy.</x:v>
      </x:c>
      <x:c r="V22" s="12" t="str">
        <x:v>Safety bin</x:v>
      </x:c>
      <x:c r="W22" s="12" t="str">
        <x:v>2026-05-27</x:v>
      </x:c>
      <x:c r="X22" s="12" t="str">
        <x:v>https://www.sciencebuddies.org/stem-activities/make-stethoscope</x:v>
      </x:c>
      <x:c r="Y22" s="12" t="str">
        <x:v>Safety-critical.</x:v>
      </x:c>
    </x:row>
    <x:row r="23">
      <x:c r="A23" s="12" t="str">
        <x:v>PY-STEM</x:v>
      </x:c>
      <x:c r="B23" s="12" t="str">
        <x:v>PYS-05</x:v>
      </x:c>
      <x:c r="C23" s="12" t="str">
        <x:v>Reaction Time Combine</x:v>
      </x:c>
      <x:c r="D23" s="12" t="str">
        <x:v>gym supplies</x:v>
      </x:c>
      <x:c r="E23" s="12" t="str">
        <x:v>Meter sticks, cones, score sheets</x:v>
      </x:c>
      <x:c r="F23" s="12" t="str">
        <x:v>Reaction time stations</x:v>
      </x:c>
      <x:c r="G23" s="12" t="str">
        <x:v>reusable</x:v>
      </x:c>
      <x:c r="H23" s="12" t="str">
        <x:v>maybe yes</x:v>
      </x:c>
      <x:c r="I23" s="12" t="str">
        <x:v>6 stations</x:v>
      </x:c>
      <x:c r="J23" s="12" t="str">
        <x:v>1 spare meter stick</x:v>
      </x:c>
      <x:c r="K23" s="12" t="str">
        <x:v>meter sticks and gym cones</x:v>
      </x:c>
      <x:c r="L23" s="12" t="str">
        <x:v>https://www.amazon.com/s?k=meter+sticks+gym+cones</x:v>
      </x:c>
      <x:c r="M23" s="12" t="str"/>
      <x:c r="N23" s="14" t="str"/>
      <x:c r="O23" s="12" t="str">
        <x:v>search URL only</x:v>
      </x:c>
      <x:c r="P23" s="12" t="str">
        <x:v>1</x:v>
      </x:c>
      <x:c r="Q23" s="14" t="n">
        <x:f>IFERROR(N23*P23,0)</x:f>
        <x:v>0</x:v>
      </x:c>
      <x:c r="R23" s="12" t="str">
        <x:v>recommended</x:v>
      </x:c>
      <x:c r="S23" s="12" t="str">
        <x:v>Borrow from PE/science</x:v>
      </x:c>
      <x:c r="T23" s="12" t="str">
        <x:v>yes</x:v>
      </x:c>
      <x:c r="U23" s="12" t="str">
        <x:v>No sprint collisions. Clear lanes.</x:v>
      </x:c>
      <x:c r="V23" s="12" t="str">
        <x:v>Gym bin</x:v>
      </x:c>
      <x:c r="W23" s="12" t="str">
        <x:v>2026-05-27</x:v>
      </x:c>
      <x:c r="X23" s="12" t="str">
        <x:v>https://www.sciencebuddies.org/stem-activities/think-fast-measure-your-reaction-time</x:v>
      </x:c>
      <x:c r="Y23" s="12" t="str">
        <x:v>Can be fully seated.</x:v>
      </x:c>
    </x:row>
    <x:row r="24">
      <x:c r="A24" s="12" t="str">
        <x:v>PY-STEM</x:v>
      </x:c>
      <x:c r="B24" s="12" t="str">
        <x:v>PYS-06</x:v>
      </x:c>
      <x:c r="C24" s="12" t="str">
        <x:v>SONAR Slinky Showdown</x:v>
      </x:c>
      <x:c r="D24" s="12" t="str">
        <x:v>waves tool</x:v>
      </x:c>
      <x:c r="E24" s="12" t="str">
        <x:v>Original Slinky Jr or metal slinkies</x:v>
      </x:c>
      <x:c r="F24" s="12" t="str">
        <x:v>Longitudinal wave modeling</x:v>
      </x:c>
      <x:c r="G24" s="12" t="str">
        <x:v>reusable</x:v>
      </x:c>
      <x:c r="H24" s="12" t="str">
        <x:v>maybe no</x:v>
      </x:c>
      <x:c r="I24" s="12" t="str">
        <x:v>4 to 6 slinkies</x:v>
      </x:c>
      <x:c r="J24" s="12" t="str">
        <x:v>1 spare</x:v>
      </x:c>
      <x:c r="K24" s="12" t="str">
        <x:v>Original Slinky Jr</x:v>
      </x:c>
      <x:c r="L24" s="12" t="str">
        <x:v>https://www.amazon.com/dp/B00000IZGI</x:v>
      </x:c>
      <x:c r="M24" s="12" t="str">
        <x:v>B00000IZGI</x:v>
      </x:c>
      <x:c r="N24" s="14" t="str"/>
      <x:c r="O24" s="12" t="str">
        <x:v>unverified</x:v>
      </x:c>
      <x:c r="P24" s="12" t="str">
        <x:v>6</x:v>
      </x:c>
      <x:c r="Q24" s="14" t="n">
        <x:f>IFERROR(N24*P24,0)</x:f>
        <x:v>0</x:v>
      </x:c>
      <x:c r="R24" s="12" t="str">
        <x:v>recommended</x:v>
      </x:c>
      <x:c r="S24" s="12" t="str">
        <x:v>Borrow from toy/science closet</x:v>
      </x:c>
      <x:c r="T24" s="12" t="str">
        <x:v>yes</x:v>
      </x:c>
      <x:c r="U24" s="12" t="str">
        <x:v>Finger pinch warning. Do not overstretch.</x:v>
      </x:c>
      <x:c r="V24" s="12" t="str">
        <x:v>Wave bin</x:v>
      </x:c>
      <x:c r="W24" s="12" t="str">
        <x:v>2026-05-27</x:v>
      </x:c>
      <x:c r="X24" s="12" t="str">
        <x:v>https://classroom.iihs.org/sonar-slinky/</x:v>
      </x:c>
      <x:c r="Y24" s="12" t="str">
        <x:v>Price hidden or sign-in gated.</x:v>
      </x:c>
    </x:row>
    <x:row r="25">
      <x:c r="A25" s="12" t="str">
        <x:v>PY-STEM</x:v>
      </x:c>
      <x:c r="B25" s="12" t="str">
        <x:v>PYS-07</x:v>
      </x:c>
      <x:c r="C25" s="12" t="str">
        <x:v>Pinhole Precision Challenge</x:v>
      </x:c>
      <x:c r="D25" s="12" t="str">
        <x:v>optics build</x:v>
      </x:c>
      <x:c r="E25" s="12" t="str">
        <x:v>Cardstock, foil, tape, paper screens</x:v>
      </x:c>
      <x:c r="F25" s="12" t="str">
        <x:v>Pinhole image viewer</x:v>
      </x:c>
      <x:c r="G25" s="12" t="str">
        <x:v>consumable</x:v>
      </x:c>
      <x:c r="H25" s="12" t="str">
        <x:v>maybe yes</x:v>
      </x:c>
      <x:c r="I25" s="12" t="str">
        <x:v>6 team kits</x:v>
      </x:c>
      <x:c r="J25" s="12" t="str">
        <x:v>15 percent extra</x:v>
      </x:c>
      <x:c r="K25" s="12" t="str">
        <x:v>aluminum foil cardstock tape</x:v>
      </x:c>
      <x:c r="L25" s="12" t="str">
        <x:v>https://www.amazon.com/s?k=aluminum+foil+cardstock+tape</x:v>
      </x:c>
      <x:c r="M25" s="12" t="str"/>
      <x:c r="N25" s="14" t="str"/>
      <x:c r="O25" s="12" t="str">
        <x:v>search URL only</x:v>
      </x:c>
      <x:c r="P25" s="12" t="str">
        <x:v>1</x:v>
      </x:c>
      <x:c r="Q25" s="14" t="n">
        <x:f>IFERROR(N25*P25,0)</x:f>
        <x:v>0</x:v>
      </x:c>
      <x:c r="R25" s="12" t="str">
        <x:v>required</x:v>
      </x:c>
      <x:c r="S25" s="12" t="str">
        <x:v>Local grocery and school supply</x:v>
      </x:c>
      <x:c r="T25" s="12" t="str">
        <x:v>yes</x:v>
      </x:c>
      <x:c r="U25" s="12" t="str">
        <x:v>No direct sun viewing. Pins controlled by staff.</x:v>
      </x:c>
      <x:c r="V25" s="12" t="str">
        <x:v>Optics bin</x:v>
      </x:c>
      <x:c r="W25" s="12" t="str">
        <x:v>2026-05-27</x:v>
      </x:c>
      <x:c r="X25" s="12" t="str">
        <x:v>https://www.exploratorium.edu/snacks/personal-pinhole-theater</x:v>
      </x:c>
      <x:c r="Y25" s="12" t="str">
        <x:v>Indoor light source works.</x:v>
      </x:c>
    </x:row>
    <x:row r="26">
      <x:c r="A26" s="12" t="str">
        <x:v>PY-STEM</x:v>
      </x:c>
      <x:c r="B26" s="12" t="str">
        <x:v>PYS-08</x:v>
      </x:c>
      <x:c r="C26" s="12" t="str">
        <x:v>Low-Ropes Force Map Relay</x:v>
      </x:c>
      <x:c r="D26" s="12" t="str">
        <x:v>printing</x:v>
      </x:c>
      <x:c r="E26" s="12" t="str">
        <x:v>Force-map cards and clipboards</x:v>
      </x:c>
      <x:c r="F26" s="12" t="str">
        <x:v>Ropes-course physics wraparound</x:v>
      </x:c>
      <x:c r="G26" s="12" t="str">
        <x:v>reusable</x:v>
      </x:c>
      <x:c r="H26" s="12" t="str">
        <x:v>no</x:v>
      </x:c>
      <x:c r="I26" s="12" t="str">
        <x:v>6 team sets</x:v>
      </x:c>
      <x:c r="J26" s="12" t="str">
        <x:v>1 spare</x:v>
      </x:c>
      <x:c r="K26" s="12" t="str">
        <x:v>local print and laminate</x:v>
      </x:c>
      <x:c r="L26" s="12" t="str">
        <x:v>local purchase</x:v>
      </x:c>
      <x:c r="M26" s="12" t="str"/>
      <x:c r="N26" s="14" t="str">
        <x:v>10</x:v>
      </x:c>
      <x:c r="O26" s="12" t="str">
        <x:v>local estimate</x:v>
      </x:c>
      <x:c r="P26" s="12" t="str">
        <x:v>1</x:v>
      </x:c>
      <x:c r="Q26" s="14" t="n">
        <x:f>IFERROR(N26*P26,0)</x:f>
        <x:v>10</x:v>
      </x:c>
      <x:c r="R26" s="12" t="str">
        <x:v>required</x:v>
      </x:c>
      <x:c r="S26" s="12" t="str">
        <x:v>Black and white cards</x:v>
      </x:c>
      <x:c r="T26" s="12" t="str">
        <x:v>yes</x:v>
      </x:c>
      <x:c r="U26" s="12" t="str">
        <x:v>Host ropes rules override module.</x:v>
      </x:c>
      <x:c r="V26" s="12" t="str">
        <x:v>Ambler trip folder</x:v>
      </x:c>
      <x:c r="W26" s="12" t="str">
        <x:v>2026-05-27</x:v>
      </x:c>
      <x:c r="X26" s="12" t="str">
        <x:v>https://www.teachengineering.org/activities/view/wpi_empathy_activity3</x:v>
      </x:c>
      <x:c r="Y26" s="12" t="str">
        <x:v>Coordinate with Holly.</x:v>
      </x:c>
    </x:row>
    <x:row r="27">
      <x:c r="A27" s="12" t="str">
        <x:v>PY-STEM</x:v>
      </x:c>
      <x:c r="B27" s="12" t="str">
        <x:v>PYS-09</x:v>
      </x:c>
      <x:c r="C27" s="12" t="str">
        <x:v>Hovercraft Hockey Hackathon</x:v>
      </x:c>
      <x:c r="D27" s="12" t="str">
        <x:v>build supplies</x:v>
      </x:c>
      <x:c r="E27" s="12" t="str">
        <x:v>Balloons, pop-top caps, recycled CDs</x:v>
      </x:c>
      <x:c r="F27" s="12" t="str">
        <x:v>Mini hovercraft build</x:v>
      </x:c>
      <x:c r="G27" s="12" t="str">
        <x:v>mixed</x:v>
      </x:c>
      <x:c r="H27" s="12" t="str">
        <x:v>maybe no</x:v>
      </x:c>
      <x:c r="I27" s="12" t="str">
        <x:v>12 to 18 hovercraft kits</x:v>
      </x:c>
      <x:c r="J27" s="12" t="str">
        <x:v>15 percent extra</x:v>
      </x:c>
      <x:c r="K27" s="12" t="str">
        <x:v>latex balloons pop top bottle caps</x:v>
      </x:c>
      <x:c r="L27" s="12" t="str">
        <x:v>https://www.amazon.com/s?k=latex+balloons+pop+top+bottle+caps</x:v>
      </x:c>
      <x:c r="M27" s="12" t="str"/>
      <x:c r="N27" s="14" t="str"/>
      <x:c r="O27" s="12" t="str">
        <x:v>search URL only</x:v>
      </x:c>
      <x:c r="P27" s="12" t="str">
        <x:v>1</x:v>
      </x:c>
      <x:c r="Q27" s="14" t="n">
        <x:f>IFERROR(N27*P27,0)</x:f>
        <x:v>0</x:v>
      </x:c>
      <x:c r="R27" s="12" t="str">
        <x:v>required</x:v>
      </x:c>
      <x:c r="S27" s="12" t="str">
        <x:v>Local party store, collect caps/CDs</x:v>
      </x:c>
      <x:c r="T27" s="12" t="str">
        <x:v>yes</x:v>
      </x:c>
      <x:c r="U27" s="12" t="str">
        <x:v>Latex allergy note. No face-level launches.</x:v>
      </x:c>
      <x:c r="V27" s="12" t="str">
        <x:v>Hovercraft bin</x:v>
      </x:c>
      <x:c r="W27" s="12" t="str">
        <x:v>2026-05-27</x:v>
      </x:c>
      <x:c r="X27" s="12" t="str">
        <x:v>https://www.jpl.nasa.gov/edu/resources/lesson-plan/hovering-on-a-cushion-of-air/</x:v>
      </x:c>
      <x:c r="Y27" s="12" t="str">
        <x:v>Use nonlatex fallback if needed.</x:v>
      </x:c>
    </x:row>
    <x:row r="28">
      <x:c r="A28" s="12" t="str">
        <x:v>PY-STEM</x:v>
      </x:c>
      <x:c r="B28" s="12" t="str">
        <x:v>PYS-10</x:v>
      </x:c>
      <x:c r="C28" s="12" t="str">
        <x:v>Spectra Sleuth Showdown</x:v>
      </x:c>
      <x:c r="D28" s="12" t="str">
        <x:v>light sources</x:v>
      </x:c>
      <x:c r="E28" s="12" t="str">
        <x:v>LED and safe classroom light sources</x:v>
      </x:c>
      <x:c r="F28" s="12" t="str">
        <x:v>Mystery spectra stations</x:v>
      </x:c>
      <x:c r="G28" s="12" t="str">
        <x:v>reusable</x:v>
      </x:c>
      <x:c r="H28" s="12" t="str">
        <x:v>maybe yes</x:v>
      </x:c>
      <x:c r="I28" s="12" t="str">
        <x:v>6 stations</x:v>
      </x:c>
      <x:c r="J28" s="12" t="str">
        <x:v>1 spare</x:v>
      </x:c>
      <x:c r="K28" s="12" t="str">
        <x:v>LED flashlight color light set</x:v>
      </x:c>
      <x:c r="L28" s="12" t="str">
        <x:v>https://www.amazon.com/s?k=led+flashlight+color+light+set</x:v>
      </x:c>
      <x:c r="M28" s="12" t="str"/>
      <x:c r="N28" s="14" t="str"/>
      <x:c r="O28" s="12" t="str">
        <x:v>search URL only</x:v>
      </x:c>
      <x:c r="P28" s="12" t="str">
        <x:v>1</x:v>
      </x:c>
      <x:c r="Q28" s="14" t="n">
        <x:f>IFERROR(N28*P28,0)</x:f>
        <x:v>0</x:v>
      </x:c>
      <x:c r="R28" s="12" t="str">
        <x:v>recommended</x:v>
      </x:c>
      <x:c r="S28" s="12" t="str">
        <x:v>Borrow lamps/LEDs</x:v>
      </x:c>
      <x:c r="T28" s="12" t="str">
        <x:v>yes</x:v>
      </x:c>
      <x:c r="U28" s="12" t="str">
        <x:v>No lasers. Avoid hot bulbs.</x:v>
      </x:c>
      <x:c r="V28" s="12" t="str">
        <x:v>Spectra bin</x:v>
      </x:c>
      <x:c r="W28" s="12" t="str">
        <x:v>2026-05-27</x:v>
      </x:c>
      <x:c r="X28" s="12" t="str">
        <x:v>https://www.sciencehistory.org/visit/exhibitions/history-of-fireworks/</x:v>
      </x:c>
      <x:c r="Y28" s="12" t="str">
        <x:v>Use safe lights.</x:v>
      </x:c>
    </x:row>
    <x:row r="29">
      <x:c r="A29" s="12" t="str">
        <x:v>PY-STEM</x:v>
      </x:c>
      <x:c r="B29" s="12" t="str">
        <x:v>PYS-11</x:v>
      </x:c>
      <x:c r="C29" s="12" t="str">
        <x:v>BookBot Bin Logic Challenge</x:v>
      </x:c>
      <x:c r="D29" s="12" t="str">
        <x:v>printing/build</x:v>
      </x:c>
      <x:c r="E29" s="12" t="str">
        <x:v>Bin cards, address labels, order deck, route mat</x:v>
      </x:c>
      <x:c r="F29" s="12" t="str">
        <x:v>ASRS addressing simulation</x:v>
      </x:c>
      <x:c r="G29" s="12" t="str">
        <x:v>reusable</x:v>
      </x:c>
      <x:c r="H29" s="12" t="str">
        <x:v>no</x:v>
      </x:c>
      <x:c r="I29" s="12" t="str">
        <x:v>6 sets</x:v>
      </x:c>
      <x:c r="J29" s="12" t="str">
        <x:v>1 spare</x:v>
      </x:c>
      <x:c r="K29" s="12" t="str">
        <x:v>local print and laminate</x:v>
      </x:c>
      <x:c r="L29" s="12" t="str">
        <x:v>local purchase</x:v>
      </x:c>
      <x:c r="M29" s="12" t="str"/>
      <x:c r="N29" s="14" t="str">
        <x:v>20</x:v>
      </x:c>
      <x:c r="O29" s="12" t="str">
        <x:v>local estimate</x:v>
      </x:c>
      <x:c r="P29" s="12" t="str">
        <x:v>1</x:v>
      </x:c>
      <x:c r="Q29" s="14" t="n">
        <x:f>IFERROR(N29*P29,0)</x:f>
        <x:v>20</x:v>
      </x:c>
      <x:c r="R29" s="12" t="str">
        <x:v>required</x:v>
      </x:c>
      <x:c r="S29" s="12" t="str">
        <x:v>Index cards and painter tape</x:v>
      </x:c>
      <x:c r="T29" s="12" t="str">
        <x:v>yes</x:v>
      </x:c>
      <x:c r="U29" s="12" t="str">
        <x:v>Keep clear of actual library operations.</x:v>
      </x:c>
      <x:c r="V29" s="12" t="str">
        <x:v>BookBot folder</x:v>
      </x:c>
      <x:c r="W29" s="12" t="str">
        <x:v>2026-05-27</x:v>
      </x:c>
      <x:c r="X29" s="12" t="str">
        <x:v>https://library.temple.edu/spaces/charles-in-charge</x:v>
      </x:c>
      <x:c r="Y29" s="12" t="str">
        <x:v>Frame as bin addressing and search, not throughput.</x:v>
      </x:c>
    </x:row>
    <x:row r="30">
      <x:c r="A30" s="12" t="str">
        <x:v>PY-STEM</x:v>
      </x:c>
      <x:c r="B30" s="12" t="str">
        <x:v>PYS-12</x:v>
      </x:c>
      <x:c r="C30" s="12" t="str">
        <x:v>Accessibility Ramp Rescue Lab</x:v>
      </x:c>
      <x:c r="D30" s="12" t="str">
        <x:v>build supplies</x:v>
      </x:c>
      <x:c r="E30" s="12" t="str">
        <x:v>Foam board, dowels, binder clips, toy cart</x:v>
      </x:c>
      <x:c r="F30" s="12" t="str">
        <x:v>Portable ramp model</x:v>
      </x:c>
      <x:c r="G30" s="12" t="str">
        <x:v>mixed</x:v>
      </x:c>
      <x:c r="H30" s="12" t="str">
        <x:v>maybe no</x:v>
      </x:c>
      <x:c r="I30" s="12" t="str">
        <x:v>6 team kits</x:v>
      </x:c>
      <x:c r="J30" s="12" t="str">
        <x:v>15 percent extra</x:v>
      </x:c>
      <x:c r="K30" s="12" t="str">
        <x:v>foam board dowels binder clips toy cart</x:v>
      </x:c>
      <x:c r="L30" s="12" t="str">
        <x:v>https://www.amazon.com/s?k=foam+board+dowels+binder+clips+toy+cart</x:v>
      </x:c>
      <x:c r="M30" s="12" t="str"/>
      <x:c r="N30" s="14" t="str"/>
      <x:c r="O30" s="12" t="str">
        <x:v>search URL only</x:v>
      </x:c>
      <x:c r="P30" s="12" t="str">
        <x:v>1</x:v>
      </x:c>
      <x:c r="Q30" s="14" t="n">
        <x:f>IFERROR(N30*P30,0)</x:f>
        <x:v>0</x:v>
      </x:c>
      <x:c r="R30" s="12" t="str">
        <x:v>required</x:v>
      </x:c>
      <x:c r="S30" s="12" t="str">
        <x:v>Borrow toy cars, use cardboard</x:v>
      </x:c>
      <x:c r="T30" s="12" t="str">
        <x:v>yes</x:v>
      </x:c>
      <x:c r="U30" s="12" t="str">
        <x:v>Keep loads low. No standing on models.</x:v>
      </x:c>
      <x:c r="V30" s="12" t="str">
        <x:v>Accessibility bin</x:v>
      </x:c>
      <x:c r="W30" s="12" t="str">
        <x:v>2026-05-27</x:v>
      </x:c>
      <x:c r="X30" s="12" t="str">
        <x:v>https://www.teachengineering.org/activities/view/wpi_empathy_activity3</x:v>
      </x:c>
      <x:c r="Y30" s="12" t="str">
        <x:v>ADA-style slope model.</x:v>
      </x:c>
    </x:row>
    <x:row r="31">
      <x:c r="A31" s="12" t="str">
        <x:v>Shared</x:v>
      </x:c>
      <x:c r="B31" s="12" t="str">
        <x:v>ALL</x:v>
      </x:c>
      <x:c r="C31" s="12" t="str">
        <x:v>All activities</x:v>
      </x:c>
      <x:c r="D31" s="12" t="str">
        <x:v>PPE</x:v>
      </x:c>
      <x:c r="E31" s="12" t="str">
        <x:v>Safety goggles, class set</x:v>
      </x:c>
      <x:c r="F31" s="12" t="str">
        <x:v>Eye protection for splash, soil, plant peel, and oobleck activities</x:v>
      </x:c>
      <x:c r="G31" s="12" t="str">
        <x:v>reusable</x:v>
      </x:c>
      <x:c r="H31" s="12" t="str">
        <x:v>maybe yes</x:v>
      </x:c>
      <x:c r="I31" s="12" t="str">
        <x:v>30 goggles</x:v>
      </x:c>
      <x:c r="J31" s="12" t="str">
        <x:v>0 if existing</x:v>
      </x:c>
      <x:c r="K31" s="12" t="str">
        <x:v>classroom safety goggles 30 pack</x:v>
      </x:c>
      <x:c r="L31" s="12" t="str">
        <x:v>https://www.amazon.com/s?k=classroom+safety+goggles+30+pack</x:v>
      </x:c>
      <x:c r="M31" s="12" t="str"/>
      <x:c r="N31" s="14" t="str"/>
      <x:c r="O31" s="12" t="str">
        <x:v>search URL only</x:v>
      </x:c>
      <x:c r="P31" s="12" t="str">
        <x:v>1</x:v>
      </x:c>
      <x:c r="Q31" s="14" t="n">
        <x:f>IFERROR(N31*P31,0)</x:f>
        <x:v>0</x:v>
      </x:c>
      <x:c r="R31" s="12" t="str">
        <x:v>required</x:v>
      </x:c>
      <x:c r="S31" s="12" t="str">
        <x:v>Borrow from science stockroom</x:v>
      </x:c>
      <x:c r="T31" s="12" t="str">
        <x:v>yes</x:v>
      </x:c>
      <x:c r="U31" s="12" t="str">
        <x:v>Sanitize between users.</x:v>
      </x:c>
      <x:c r="V31" s="12" t="str">
        <x:v>PPE bin</x:v>
      </x:c>
      <x:c r="W31" s="12" t="str">
        <x:v>2026-05-27</x:v>
      </x:c>
      <x:c r="X31" s="12" t="str">
        <x:v>ACS/NSTA general lab safety</x:v>
      </x:c>
      <x:c r="Y31" s="12" t="str">
        <x:v>Safety-critical.</x:v>
      </x:c>
    </x:row>
    <x:row r="32">
      <x:c r="A32" s="12" t="str">
        <x:v>Shared</x:v>
      </x:c>
      <x:c r="B32" s="12" t="str">
        <x:v>ALL</x:v>
      </x:c>
      <x:c r="C32" s="12" t="str">
        <x:v>All activities</x:v>
      </x:c>
      <x:c r="D32" s="12" t="str">
        <x:v>PPE</x:v>
      </x:c>
      <x:c r="E32" s="12" t="str">
        <x:v>Nitrile gloves, 100 pack</x:v>
      </x:c>
      <x:c r="F32" s="12" t="str">
        <x:v>Soil, plant, oobleck, and cleanup handling</x:v>
      </x:c>
      <x:c r="G32" s="12" t="str">
        <x:v>consumable</x:v>
      </x:c>
      <x:c r="H32" s="12" t="str">
        <x:v>maybe yes</x:v>
      </x:c>
      <x:c r="I32" s="12" t="str">
        <x:v>2 boxes</x:v>
      </x:c>
      <x:c r="J32" s="12" t="str">
        <x:v>15 percent built into second box</x:v>
      </x:c>
      <x:c r="K32" s="12" t="str">
        <x:v>nitrile gloves medium 100 pack</x:v>
      </x:c>
      <x:c r="L32" s="12" t="str">
        <x:v>https://www.amazon.com/s?k=nitrile+gloves+medium+100+pack</x:v>
      </x:c>
      <x:c r="M32" s="12" t="str"/>
      <x:c r="N32" s="14" t="str"/>
      <x:c r="O32" s="12" t="str">
        <x:v>search URL only</x:v>
      </x:c>
      <x:c r="P32" s="12" t="str">
        <x:v>2</x:v>
      </x:c>
      <x:c r="Q32" s="14" t="n">
        <x:f>IFERROR(N32*P32,0)</x:f>
        <x:v>0</x:v>
      </x:c>
      <x:c r="R32" s="12" t="str">
        <x:v>required</x:v>
      </x:c>
      <x:c r="S32" s="12" t="str">
        <x:v>School stockroom</x:v>
      </x:c>
      <x:c r="T32" s="12" t="str">
        <x:v>yes</x:v>
      </x:c>
      <x:c r="U32" s="12" t="str">
        <x:v>Latex-free preferred.</x:v>
      </x:c>
      <x:c r="V32" s="12" t="str">
        <x:v>PPE bin</x:v>
      </x:c>
      <x:c r="W32" s="12" t="str">
        <x:v>2026-05-27</x:v>
      </x:c>
      <x:c r="X32" s="12" t="str">
        <x:v>ACS/NSTA general lab safety</x:v>
      </x:c>
      <x:c r="Y32" s="12" t="str">
        <x:v>Safety-critical.</x:v>
      </x:c>
    </x:row>
    <x:row r="33">
      <x:c r="A33" s="12" t="str">
        <x:v>Shared</x:v>
      </x:c>
      <x:c r="B33" s="12" t="str">
        <x:v>ALL</x:v>
      </x:c>
      <x:c r="C33" s="12" t="str">
        <x:v>All activities</x:v>
      </x:c>
      <x:c r="D33" s="12" t="str">
        <x:v>measurement</x:v>
      </x:c>
      <x:c r="E33" s="12" t="str">
        <x:v>Clipboards</x:v>
      </x:c>
      <x:c r="F33" s="12" t="str">
        <x:v>Outdoor and room data collection</x:v>
      </x:c>
      <x:c r="G33" s="12" t="str">
        <x:v>reusable</x:v>
      </x:c>
      <x:c r="H33" s="12" t="str">
        <x:v>maybe yes</x:v>
      </x:c>
      <x:c r="I33" s="12" t="str">
        <x:v>30</x:v>
      </x:c>
      <x:c r="J33" s="12" t="str">
        <x:v>0 if existing</x:v>
      </x:c>
      <x:c r="K33" s="12" t="str">
        <x:v>clipboards classroom pack</x:v>
      </x:c>
      <x:c r="L33" s="12" t="str">
        <x:v>https://www.amazon.com/s?k=clipboards+classroom+pack</x:v>
      </x:c>
      <x:c r="M33" s="12" t="str"/>
      <x:c r="N33" s="14" t="str"/>
      <x:c r="O33" s="12" t="str">
        <x:v>search URL only</x:v>
      </x:c>
      <x:c r="P33" s="12" t="str">
        <x:v>1</x:v>
      </x:c>
      <x:c r="Q33" s="14" t="n">
        <x:f>IFERROR(N33*P33,0)</x:f>
        <x:v>0</x:v>
      </x:c>
      <x:c r="R33" s="12" t="str">
        <x:v>recommended</x:v>
      </x:c>
      <x:c r="S33" s="12" t="str">
        <x:v>Borrow from department</x:v>
      </x:c>
      <x:c r="T33" s="12" t="str">
        <x:v>yes</x:v>
      </x:c>
      <x:c r="U33" s="12" t="str"/>
      <x:c r="V33" s="12" t="str">
        <x:v>Field bin</x:v>
      </x:c>
      <x:c r="W33" s="12" t="str">
        <x:v>2026-05-27</x:v>
      </x:c>
      <x:c r="X33" s="12" t="str">
        <x:v>planning line</x:v>
      </x:c>
      <x:c r="Y33" s="12" t="str">
        <x:v>Reusable.</x:v>
      </x:c>
    </x:row>
    <x:row r="34">
      <x:c r="A34" s="12" t="str">
        <x:v>Shared</x:v>
      </x:c>
      <x:c r="B34" s="12" t="str">
        <x:v>ALL</x:v>
      </x:c>
      <x:c r="C34" s="12" t="str">
        <x:v>All activities</x:v>
      </x:c>
      <x:c r="D34" s="12" t="str">
        <x:v>measurement</x:v>
      </x:c>
      <x:c r="E34" s="12" t="str">
        <x:v>Stopwatches or phone timers</x:v>
      </x:c>
      <x:c r="F34" s="12" t="str">
        <x:v>Timing races, trials, and relays</x:v>
      </x:c>
      <x:c r="G34" s="12" t="str">
        <x:v>reusable</x:v>
      </x:c>
      <x:c r="H34" s="12" t="str">
        <x:v>maybe yes</x:v>
      </x:c>
      <x:c r="I34" s="12" t="str">
        <x:v>6 to 12</x:v>
      </x:c>
      <x:c r="J34" s="12" t="str">
        <x:v>0 if phones allowed</x:v>
      </x:c>
      <x:c r="K34" s="12" t="str">
        <x:v>digital stopwatch 12 pack</x:v>
      </x:c>
      <x:c r="L34" s="12" t="str">
        <x:v>https://www.amazon.com/s?k=digital+stopwatch+12+pack</x:v>
      </x:c>
      <x:c r="M34" s="12" t="str"/>
      <x:c r="N34" s="14" t="str"/>
      <x:c r="O34" s="12" t="str">
        <x:v>search URL only</x:v>
      </x:c>
      <x:c r="P34" s="12" t="str">
        <x:v>1</x:v>
      </x:c>
      <x:c r="Q34" s="14" t="n">
        <x:f>IFERROR(N34*P34,0)</x:f>
        <x:v>0</x:v>
      </x:c>
      <x:c r="R34" s="12" t="str">
        <x:v>recommended</x:v>
      </x:c>
      <x:c r="S34" s="12" t="str">
        <x:v>Use projected timer plus staff phones</x:v>
      </x:c>
      <x:c r="T34" s="12" t="str">
        <x:v>yes</x:v>
      </x:c>
      <x:c r="U34" s="12" t="str"/>
      <x:c r="V34" s="12" t="str">
        <x:v>Measurement bin</x:v>
      </x:c>
      <x:c r="W34" s="12" t="str">
        <x:v>2026-05-27</x:v>
      </x:c>
      <x:c r="X34" s="12" t="str">
        <x:v>planning line</x:v>
      </x:c>
      <x:c r="Y34" s="12" t="str">
        <x:v>Reusable.</x:v>
      </x:c>
    </x:row>
    <x:row r="35">
      <x:c r="A35" s="12" t="str">
        <x:v>Shared</x:v>
      </x:c>
      <x:c r="B35" s="12" t="str">
        <x:v>ALL</x:v>
      </x:c>
      <x:c r="C35" s="12" t="str">
        <x:v>All activities</x:v>
      </x:c>
      <x:c r="D35" s="12" t="str">
        <x:v>supplies</x:v>
      </x:c>
      <x:c r="E35" s="12" t="str">
        <x:v>Masking tape and painter tape</x:v>
      </x:c>
      <x:c r="F35" s="12" t="str">
        <x:v>Lane marking, labels, and safe floor routes</x:v>
      </x:c>
      <x:c r="G35" s="12" t="str">
        <x:v>consumable</x:v>
      </x:c>
      <x:c r="H35" s="12" t="str">
        <x:v>maybe yes</x:v>
      </x:c>
      <x:c r="I35" s="12" t="str">
        <x:v>6 rolls</x:v>
      </x:c>
      <x:c r="J35" s="12" t="str">
        <x:v>1 spare roll</x:v>
      </x:c>
      <x:c r="K35" s="12" t="str">
        <x:v>masking tape multi pack</x:v>
      </x:c>
      <x:c r="L35" s="12" t="str">
        <x:v>https://www.amazon.com/s?k=masking+tape+multi+pack</x:v>
      </x:c>
      <x:c r="M35" s="12" t="str"/>
      <x:c r="N35" s="14" t="str"/>
      <x:c r="O35" s="12" t="str">
        <x:v>search URL only</x:v>
      </x:c>
      <x:c r="P35" s="12" t="str">
        <x:v>1</x:v>
      </x:c>
      <x:c r="Q35" s="14" t="n">
        <x:f>IFERROR(N35*P35,0)</x:f>
        <x:v>0</x:v>
      </x:c>
      <x:c r="R35" s="12" t="str">
        <x:v>required</x:v>
      </x:c>
      <x:c r="S35" s="12" t="str">
        <x:v>School supply closet</x:v>
      </x:c>
      <x:c r="T35" s="12" t="str">
        <x:v>yes</x:v>
      </x:c>
      <x:c r="U35" s="12" t="str">
        <x:v>Check floor compatibility before use.</x:v>
      </x:c>
      <x:c r="V35" s="12" t="str">
        <x:v>Tape bin</x:v>
      </x:c>
      <x:c r="W35" s="12" t="str">
        <x:v>2026-05-27</x:v>
      </x:c>
      <x:c r="X35" s="12" t="str">
        <x:v>planning line</x:v>
      </x:c>
      <x:c r="Y35" s="12" t="str">
        <x:v>Avoid residue.</x:v>
      </x:c>
    </x:row>
    <x:row r="36">
      <x:c r="A36" s="12" t="str">
        <x:v>Shared</x:v>
      </x:c>
      <x:c r="B36" s="12" t="str">
        <x:v>ALL</x:v>
      </x:c>
      <x:c r="C36" s="12" t="str">
        <x:v>All activities</x:v>
      </x:c>
      <x:c r="D36" s="12" t="str">
        <x:v>supplies</x:v>
      </x:c>
      <x:c r="E36" s="12" t="str">
        <x:v>Cardstock, copy paper, markers</x:v>
      </x:c>
      <x:c r="F36" s="12" t="str">
        <x:v>Cards, score slips, station signs, and builds</x:v>
      </x:c>
      <x:c r="G36" s="12" t="str">
        <x:v>consumable</x:v>
      </x:c>
      <x:c r="H36" s="12" t="str">
        <x:v>maybe yes</x:v>
      </x:c>
      <x:c r="I36" s="12" t="str">
        <x:v>500 to 800 pages plus markers</x:v>
      </x:c>
      <x:c r="J36" s="12" t="str">
        <x:v>15 percent print buffer</x:v>
      </x:c>
      <x:c r="K36" s="12" t="str">
        <x:v>cardstock 250 sheets and markers</x:v>
      </x:c>
      <x:c r="L36" s="12" t="str">
        <x:v>https://www.amazon.com/s?k=cardstock+250+pack+markers</x:v>
      </x:c>
      <x:c r="M36" s="12" t="str"/>
      <x:c r="N36" s="14" t="str"/>
      <x:c r="O36" s="12" t="str">
        <x:v>search URL only</x:v>
      </x:c>
      <x:c r="P36" s="12" t="str">
        <x:v>2</x:v>
      </x:c>
      <x:c r="Q36" s="14" t="n">
        <x:f>IFERROR(N36*P36,0)</x:f>
        <x:v>0</x:v>
      </x:c>
      <x:c r="R36" s="12" t="str">
        <x:v>required</x:v>
      </x:c>
      <x:c r="S36" s="12" t="str">
        <x:v>Local print shop or school supply</x:v>
      </x:c>
      <x:c r="T36" s="12" t="str">
        <x:v>yes</x:v>
      </x:c>
      <x:c r="U36" s="12" t="str"/>
      <x:c r="V36" s="12" t="str">
        <x:v>Print bin</x:v>
      </x:c>
      <x:c r="W36" s="12" t="str">
        <x:v>2026-05-27</x:v>
      </x:c>
      <x:c r="X36" s="12" t="str">
        <x:v>planning line</x:v>
      </x:c>
      <x:c r="Y36" s="12" t="str">
        <x:v>Printing lines separated in Printing sheet.</x:v>
      </x:c>
    </x:row>
    <x:row r="37">
      <x:c r="A37" s="12" t="str">
        <x:v>Shared</x:v>
      </x:c>
      <x:c r="B37" s="12" t="str">
        <x:v>Rewards</x:v>
      </x:c>
      <x:c r="C37" s="12" t="str">
        <x:v>Prize table</x:v>
      </x:c>
      <x:c r="D37" s="12" t="str">
        <x:v>prize</x:v>
      </x:c>
      <x:c r="E37" s="12" t="str">
        <x:v>Vinyl STEM stickers</x:v>
      </x:c>
      <x:c r="F37" s="12" t="str">
        <x:v>1 to 2 ticket prize</x:v>
      </x:c>
      <x:c r="G37" s="12" t="str">
        <x:v>consumable</x:v>
      </x:c>
      <x:c r="H37" s="12" t="str">
        <x:v>no</x:v>
      </x:c>
      <x:c r="I37" s="12" t="str">
        <x:v>75 to 100</x:v>
      </x:c>
      <x:c r="J37" s="12" t="str">
        <x:v>15 percent extra</x:v>
      </x:c>
      <x:c r="K37" s="12" t="str">
        <x:v>STEM stickers 100 pack</x:v>
      </x:c>
      <x:c r="L37" s="12" t="str">
        <x:v>https://www.amazon.com/s?k=stem+stickers+100+pack</x:v>
      </x:c>
      <x:c r="M37" s="12" t="str"/>
      <x:c r="N37" s="14" t="str"/>
      <x:c r="O37" s="12" t="str">
        <x:v>search URL only</x:v>
      </x:c>
      <x:c r="P37" s="12" t="str">
        <x:v>2</x:v>
      </x:c>
      <x:c r="Q37" s="14" t="n">
        <x:f>IFERROR(N37*P37,0)</x:f>
        <x:v>0</x:v>
      </x:c>
      <x:c r="R37" s="12" t="str">
        <x:v>prize</x:v>
      </x:c>
      <x:c r="S37" s="12" t="str">
        <x:v>Local school store</x:v>
      </x:c>
      <x:c r="T37" s="12" t="str">
        <x:v>yes</x:v>
      </x:c>
      <x:c r="U37" s="12" t="str"/>
      <x:c r="V37" s="12" t="str">
        <x:v>Prize bin</x:v>
      </x:c>
      <x:c r="W37" s="12" t="str">
        <x:v>2026-05-27</x:v>
      </x:c>
      <x:c r="X37" s="12" t="str">
        <x:v>planning line</x:v>
      </x:c>
      <x:c r="Y37" s="12" t="str">
        <x:v>Non-candy.</x:v>
      </x:c>
    </x:row>
    <x:row r="38">
      <x:c r="A38" s="12" t="str">
        <x:v>Shared</x:v>
      </x:c>
      <x:c r="B38" s="12" t="str">
        <x:v>Rewards</x:v>
      </x:c>
      <x:c r="C38" s="12" t="str">
        <x:v>Prize table</x:v>
      </x:c>
      <x:c r="D38" s="12" t="str">
        <x:v>prize</x:v>
      </x:c>
      <x:c r="E38" s="12" t="str">
        <x:v>Mechanical pencils and gel pens</x:v>
      </x:c>
      <x:c r="F38" s="12" t="str">
        <x:v>1 to 4 ticket prize</x:v>
      </x:c>
      <x:c r="G38" s="12" t="str">
        <x:v>consumable</x:v>
      </x:c>
      <x:c r="H38" s="12" t="str">
        <x:v>no</x:v>
      </x:c>
      <x:c r="I38" s="12" t="str">
        <x:v>50 to 75</x:v>
      </x:c>
      <x:c r="J38" s="12" t="str">
        <x:v>15 percent extra</x:v>
      </x:c>
      <x:c r="K38" s="12" t="str">
        <x:v>mechanical pencils gel pens bulk</x:v>
      </x:c>
      <x:c r="L38" s="12" t="str">
        <x:v>https://www.amazon.com/s?k=mechanical+pencils+gel+pens+bulk</x:v>
      </x:c>
      <x:c r="M38" s="12" t="str"/>
      <x:c r="N38" s="14" t="str"/>
      <x:c r="O38" s="12" t="str">
        <x:v>search URL only</x:v>
      </x:c>
      <x:c r="P38" s="12" t="str">
        <x:v>2</x:v>
      </x:c>
      <x:c r="Q38" s="14" t="n">
        <x:f>IFERROR(N38*P38,0)</x:f>
        <x:v>0</x:v>
      </x:c>
      <x:c r="R38" s="12" t="str">
        <x:v>prize</x:v>
      </x:c>
      <x:c r="S38" s="12" t="str">
        <x:v>School supply closet</x:v>
      </x:c>
      <x:c r="T38" s="12" t="str">
        <x:v>yes</x:v>
      </x:c>
      <x:c r="U38" s="12" t="str"/>
      <x:c r="V38" s="12" t="str">
        <x:v>Prize bin</x:v>
      </x:c>
      <x:c r="W38" s="12" t="str">
        <x:v>2026-05-27</x:v>
      </x:c>
      <x:c r="X38" s="12" t="str">
        <x:v>planning line</x:v>
      </x:c>
      <x:c r="Y38" s="12" t="str">
        <x:v>Useful prize.</x:v>
      </x:c>
    </x:row>
    <x:row r="39">
      <x:c r="A39" s="12" t="str">
        <x:v>Shared</x:v>
      </x:c>
      <x:c r="B39" s="12" t="str">
        <x:v>Rewards</x:v>
      </x:c>
      <x:c r="C39" s="12" t="str">
        <x:v>Prize table</x:v>
      </x:c>
      <x:c r="D39" s="12" t="str">
        <x:v>prize</x:v>
      </x:c>
      <x:c r="E39" s="12" t="str">
        <x:v>Mini notebooks</x:v>
      </x:c>
      <x:c r="F39" s="12" t="str">
        <x:v>2 to 4 ticket prize</x:v>
      </x:c>
      <x:c r="G39" s="12" t="str">
        <x:v>consumable</x:v>
      </x:c>
      <x:c r="H39" s="12" t="str">
        <x:v>no</x:v>
      </x:c>
      <x:c r="I39" s="12" t="str">
        <x:v>30</x:v>
      </x:c>
      <x:c r="J39" s="12" t="str">
        <x:v>15 percent extra</x:v>
      </x:c>
      <x:c r="K39" s="12" t="str">
        <x:v>mini notebooks bulk</x:v>
      </x:c>
      <x:c r="L39" s="12" t="str">
        <x:v>https://www.amazon.com/s?k=mini+notebooks+bulk</x:v>
      </x:c>
      <x:c r="M39" s="12" t="str"/>
      <x:c r="N39" s="14" t="str"/>
      <x:c r="O39" s="12" t="str">
        <x:v>search URL only</x:v>
      </x:c>
      <x:c r="P39" s="12" t="str">
        <x:v>1</x:v>
      </x:c>
      <x:c r="Q39" s="14" t="n">
        <x:f>IFERROR(N39*P39,0)</x:f>
        <x:v>0</x:v>
      </x:c>
      <x:c r="R39" s="12" t="str">
        <x:v>prize</x:v>
      </x:c>
      <x:c r="S39" s="12" t="str">
        <x:v>Local dollar store</x:v>
      </x:c>
      <x:c r="T39" s="12" t="str">
        <x:v>yes</x:v>
      </x:c>
      <x:c r="U39" s="12" t="str"/>
      <x:c r="V39" s="12" t="str">
        <x:v>Prize bin</x:v>
      </x:c>
      <x:c r="W39" s="12" t="str">
        <x:v>2026-05-27</x:v>
      </x:c>
      <x:c r="X39" s="12" t="str">
        <x:v>planning line</x:v>
      </x:c>
      <x:c r="Y39" s="12" t="str">
        <x:v>Non-candy.</x:v>
      </x:c>
    </x:row>
    <x:row r="40">
      <x:c r="A40" s="12" t="str">
        <x:v>Shared</x:v>
      </x:c>
      <x:c r="B40" s="12" t="str">
        <x:v>Rewards</x:v>
      </x:c>
      <x:c r="C40" s="12" t="str">
        <x:v>Prize table</x:v>
      </x:c>
      <x:c r="D40" s="12" t="str">
        <x:v>prize</x:v>
      </x:c>
      <x:c r="E40" s="12" t="str">
        <x:v>Fidget puzzles or mini desk puzzles</x:v>
      </x:c>
      <x:c r="F40" s="12" t="str">
        <x:v>4 to 7 ticket prize</x:v>
      </x:c>
      <x:c r="G40" s="12" t="str">
        <x:v>consumable</x:v>
      </x:c>
      <x:c r="H40" s="12" t="str">
        <x:v>no</x:v>
      </x:c>
      <x:c r="I40" s="12" t="str">
        <x:v>20 to 30</x:v>
      </x:c>
      <x:c r="J40" s="12" t="str">
        <x:v>15 percent extra</x:v>
      </x:c>
      <x:c r="K40" s="12" t="str">
        <x:v>mini desk puzzles bulk</x:v>
      </x:c>
      <x:c r="L40" s="12" t="str">
        <x:v>https://www.amazon.com/s?k=mini+desk+puzzles+bulk</x:v>
      </x:c>
      <x:c r="M40" s="12" t="str"/>
      <x:c r="N40" s="14" t="str"/>
      <x:c r="O40" s="12" t="str">
        <x:v>search URL only</x:v>
      </x:c>
      <x:c r="P40" s="12" t="str">
        <x:v>1</x:v>
      </x:c>
      <x:c r="Q40" s="14" t="n">
        <x:f>IFERROR(N40*P40,0)</x:f>
        <x:v>0</x:v>
      </x:c>
      <x:c r="R40" s="12" t="str">
        <x:v>prize</x:v>
      </x:c>
      <x:c r="S40" s="12" t="str">
        <x:v>Local store</x:v>
      </x:c>
      <x:c r="T40" s="12" t="str">
        <x:v>yes</x:v>
      </x:c>
      <x:c r="U40" s="12" t="str">
        <x:v>Avoid sharp or weapon-like toys.</x:v>
      </x:c>
      <x:c r="V40" s="12" t="str">
        <x:v>Prize bin</x:v>
      </x:c>
      <x:c r="W40" s="12" t="str">
        <x:v>2026-05-27</x:v>
      </x:c>
      <x:c r="X40" s="12" t="str">
        <x:v>planning line</x:v>
      </x:c>
      <x:c r="Y40" s="12" t="str">
        <x:v>Middle-school appropriate.</x:v>
      </x:c>
    </x:row>
    <x:row r="41">
      <x:c r="A41" s="12" t="str">
        <x:v>Shared</x:v>
      </x:c>
      <x:c r="B41" s="12" t="str">
        <x:v>ALL</x:v>
      </x:c>
      <x:c r="C41" s="12" t="str">
        <x:v>All activities</x:v>
      </x:c>
      <x:c r="D41" s="12" t="str">
        <x:v>PPE</x:v>
      </x:c>
      <x:c r="E41" s="12" t="str">
        <x:v>Safety goggles, class set</x:v>
      </x:c>
      <x:c r="F41" s="12" t="str">
        <x:v>Eye protection for splash, soil, plant peel, and oobleck activities</x:v>
      </x:c>
      <x:c r="G41" s="12" t="str">
        <x:v>reusable</x:v>
      </x:c>
      <x:c r="H41" s="12" t="str">
        <x:v>maybe yes</x:v>
      </x:c>
      <x:c r="I41" s="12" t="str">
        <x:v>30 goggles</x:v>
      </x:c>
      <x:c r="J41" s="12" t="str">
        <x:v>0 if existing</x:v>
      </x:c>
      <x:c r="K41" s="12" t="str">
        <x:v>classroom safety goggles 30 pack</x:v>
      </x:c>
      <x:c r="L41" s="12" t="str">
        <x:v>https://www.amazon.com/s?k=classroom+safety+goggles+30+pack</x:v>
      </x:c>
      <x:c r="M41" s="12" t="str"/>
      <x:c r="N41" s="14" t="str"/>
      <x:c r="O41" s="12" t="str">
        <x:v>search URL only</x:v>
      </x:c>
      <x:c r="P41" s="12" t="str">
        <x:v>1</x:v>
      </x:c>
      <x:c r="Q41" s="14" t="n">
        <x:f>IFERROR(N41*P41,0)</x:f>
        <x:v>0</x:v>
      </x:c>
      <x:c r="R41" s="12" t="str">
        <x:v>required</x:v>
      </x:c>
      <x:c r="S41" s="12" t="str">
        <x:v>Borrow from science stockroom</x:v>
      </x:c>
      <x:c r="T41" s="12" t="str">
        <x:v>yes</x:v>
      </x:c>
      <x:c r="U41" s="12" t="str">
        <x:v>Sanitize between users.</x:v>
      </x:c>
      <x:c r="V41" s="12" t="str">
        <x:v>PPE bin</x:v>
      </x:c>
      <x:c r="W41" s="12" t="str">
        <x:v>2026-05-27</x:v>
      </x:c>
      <x:c r="X41" s="12" t="str">
        <x:v>ACS/NSTA general lab safety</x:v>
      </x:c>
      <x:c r="Y41" s="12" t="str">
        <x:v>Safety-critical.</x:v>
      </x:c>
    </x:row>
    <x:row r="42">
      <x:c r="A42" s="12" t="str">
        <x:v>Shared</x:v>
      </x:c>
      <x:c r="B42" s="12" t="str">
        <x:v>ALL</x:v>
      </x:c>
      <x:c r="C42" s="12" t="str">
        <x:v>All activities</x:v>
      </x:c>
      <x:c r="D42" s="12" t="str">
        <x:v>PPE</x:v>
      </x:c>
      <x:c r="E42" s="12" t="str">
        <x:v>Nitrile gloves, 100 pack</x:v>
      </x:c>
      <x:c r="F42" s="12" t="str">
        <x:v>Soil, plant, oobleck, and cleanup handling</x:v>
      </x:c>
      <x:c r="G42" s="12" t="str">
        <x:v>consumable</x:v>
      </x:c>
      <x:c r="H42" s="12" t="str">
        <x:v>maybe yes</x:v>
      </x:c>
      <x:c r="I42" s="12" t="str">
        <x:v>2 boxes</x:v>
      </x:c>
      <x:c r="J42" s="12" t="str">
        <x:v>15 percent built into second box</x:v>
      </x:c>
      <x:c r="K42" s="12" t="str">
        <x:v>nitrile gloves medium 100 pack</x:v>
      </x:c>
      <x:c r="L42" s="12" t="str">
        <x:v>https://www.amazon.com/s?k=nitrile+gloves+medium+100+pack</x:v>
      </x:c>
      <x:c r="M42" s="12" t="str"/>
      <x:c r="N42" s="14" t="str"/>
      <x:c r="O42" s="12" t="str">
        <x:v>search URL only</x:v>
      </x:c>
      <x:c r="P42" s="12" t="str">
        <x:v>2</x:v>
      </x:c>
      <x:c r="Q42" s="14" t="n">
        <x:f>IFERROR(N42*P42,0)</x:f>
        <x:v>0</x:v>
      </x:c>
      <x:c r="R42" s="12" t="str">
        <x:v>required</x:v>
      </x:c>
      <x:c r="S42" s="12" t="str">
        <x:v>School stockroom</x:v>
      </x:c>
      <x:c r="T42" s="12" t="str">
        <x:v>yes</x:v>
      </x:c>
      <x:c r="U42" s="12" t="str">
        <x:v>Latex-free preferred.</x:v>
      </x:c>
      <x:c r="V42" s="12" t="str">
        <x:v>PPE bin</x:v>
      </x:c>
      <x:c r="W42" s="12" t="str">
        <x:v>2026-05-27</x:v>
      </x:c>
      <x:c r="X42" s="12" t="str">
        <x:v>ACS/NSTA general lab safety</x:v>
      </x:c>
      <x:c r="Y42" s="12" t="str">
        <x:v>Safety-critical.</x:v>
      </x:c>
    </x:row>
    <x:row r="43">
      <x:c r="A43" s="12" t="str">
        <x:v>Shared</x:v>
      </x:c>
      <x:c r="B43" s="12" t="str">
        <x:v>ALL</x:v>
      </x:c>
      <x:c r="C43" s="12" t="str">
        <x:v>All activities</x:v>
      </x:c>
      <x:c r="D43" s="12" t="str">
        <x:v>safety</x:v>
      </x:c>
      <x:c r="E43" s="12" t="str">
        <x:v>First aid kit and incident log binder</x:v>
      </x:c>
      <x:c r="F43" s="12" t="str">
        <x:v>Emergency response and documentation</x:v>
      </x:c>
      <x:c r="G43" s="12" t="str">
        <x:v>reusable</x:v>
      </x:c>
      <x:c r="H43" s="12" t="str">
        <x:v>maybe yes</x:v>
      </x:c>
      <x:c r="I43" s="12" t="str">
        <x:v>1</x:v>
      </x:c>
      <x:c r="J43" s="12" t="str">
        <x:v>0</x:v>
      </x:c>
      <x:c r="K43" s="12" t="str">
        <x:v>first aid kit classroom</x:v>
      </x:c>
      <x:c r="L43" s="12" t="str">
        <x:v>https://www.amazon.com/s?k=classroom+first+aid+kit</x:v>
      </x:c>
      <x:c r="M43" s="12" t="str"/>
      <x:c r="N43" s="14" t="str"/>
      <x:c r="O43" s="12" t="str">
        <x:v>search URL only</x:v>
      </x:c>
      <x:c r="P43" s="12" t="str">
        <x:v>1</x:v>
      </x:c>
      <x:c r="Q43" s="14" t="n">
        <x:f>IFERROR(N43*P43,0)</x:f>
        <x:v>0</x:v>
      </x:c>
      <x:c r="R43" s="12" t="str">
        <x:v>required</x:v>
      </x:c>
      <x:c r="S43" s="12" t="str">
        <x:v>School nurse / camp office</x:v>
      </x:c>
      <x:c r="T43" s="12" t="str">
        <x:v>yes</x:v>
      </x:c>
      <x:c r="U43" s="12" t="str">
        <x:v>Do not replace official site procedures.</x:v>
      </x:c>
      <x:c r="V43" s="12" t="str">
        <x:v>Safety cabinet</x:v>
      </x:c>
      <x:c r="W43" s="12" t="str">
        <x:v>2026-05-27</x:v>
      </x:c>
      <x:c r="X43" s="12" t="str">
        <x:v>planning line</x:v>
      </x:c>
      <x:c r="Y43" s="12" t="str">
        <x:v>Safety-critical.</x:v>
      </x:c>
    </x:row>
    <x:row r="44">
      <x:c r="A44" s="12" t="str">
        <x:v>Shared</x:v>
      </x:c>
      <x:c r="B44" s="12" t="str">
        <x:v>ALL</x:v>
      </x:c>
      <x:c r="C44" s="12" t="str">
        <x:v>Outdoor modules</x:v>
      </x:c>
      <x:c r="D44" s="12" t="str">
        <x:v>safety</x:v>
      </x:c>
      <x:c r="E44" s="12" t="str">
        <x:v>Sunscreen, water station, weather plan signs</x:v>
      </x:c>
      <x:c r="F44" s="12" t="str">
        <x:v>Outdoor safety support</x:v>
      </x:c>
      <x:c r="G44" s="12" t="str">
        <x:v>consumable</x:v>
      </x:c>
      <x:c r="H44" s="12" t="str">
        <x:v>maybe yes</x:v>
      </x:c>
      <x:c r="I44" s="12" t="str">
        <x:v>1 set</x:v>
      </x:c>
      <x:c r="J44" s="12" t="str">
        <x:v>extra water</x:v>
      </x:c>
      <x:c r="K44" s="12" t="str">
        <x:v>local purchase</x:v>
      </x:c>
      <x:c r="L44" s="12" t="str">
        <x:v>local purchase</x:v>
      </x:c>
      <x:c r="M44" s="12" t="str"/>
      <x:c r="N44" s="14" t="str">
        <x:v>25</x:v>
      </x:c>
      <x:c r="O44" s="12" t="str">
        <x:v>local estimate</x:v>
      </x:c>
      <x:c r="P44" s="12" t="str">
        <x:v>1</x:v>
      </x:c>
      <x:c r="Q44" s="14" t="n">
        <x:f>IFERROR(N44*P44,0)</x:f>
        <x:v>25</x:v>
      </x:c>
      <x:c r="R44" s="12" t="str">
        <x:v>required</x:v>
      </x:c>
      <x:c r="S44" s="12" t="str">
        <x:v>Camp office supply</x:v>
      </x:c>
      <x:c r="T44" s="12" t="str">
        <x:v>yes</x:v>
      </x:c>
      <x:c r="U44" s="12" t="str">
        <x:v>Allergy-sensitive sunscreen policy.</x:v>
      </x:c>
      <x:c r="V44" s="12" t="str">
        <x:v>Outdoor safety bin</x:v>
      </x:c>
      <x:c r="W44" s="12" t="str">
        <x:v>2026-05-27</x:v>
      </x:c>
      <x:c r="X44" s="12" t="str">
        <x:v>planning line</x:v>
      </x:c>
      <x:c r="Y44" s="12" t="str">
        <x:v>Confirm site policy.</x:v>
      </x:c>
    </x:row>
    <x:row r="45">
      <x:c r="A45" s="12" t="str">
        <x:v>Shared</x:v>
      </x:c>
      <x:c r="B45" s="12" t="str">
        <x:v>Printing</x:v>
      </x:c>
      <x:c r="C45" s="12" t="str">
        <x:v>All packets</x:v>
      </x:c>
      <x:c r="D45" s="12" t="str">
        <x:v>printing</x:v>
      </x:c>
      <x:c r="E45" s="12" t="str">
        <x:v>Student handout packet printing</x:v>
      </x:c>
      <x:c r="F45" s="12" t="str">
        <x:v>Camp handout packets and individual PDFs</x:v>
      </x:c>
      <x:c r="G45" s="12" t="str">
        <x:v>consumable</x:v>
      </x:c>
      <x:c r="H45" s="12" t="str">
        <x:v>no</x:v>
      </x:c>
      <x:c r="I45" s="12" t="str">
        <x:v>50 packets or as needed</x:v>
      </x:c>
      <x:c r="J45" s="12" t="str">
        <x:v>15 percent extra</x:v>
      </x:c>
      <x:c r="K45" s="12" t="str">
        <x:v>local print</x:v>
      </x:c>
      <x:c r="L45" s="12" t="str">
        <x:v>local purchase</x:v>
      </x:c>
      <x:c r="M45" s="12" t="str"/>
      <x:c r="N45" s="14" t="str">
        <x:v>75</x:v>
      </x:c>
      <x:c r="O45" s="12" t="str">
        <x:v>local estimate</x:v>
      </x:c>
      <x:c r="P45" s="12" t="str">
        <x:v>1</x:v>
      </x:c>
      <x:c r="Q45" s="14" t="n">
        <x:f>IFERROR(N45*P45,0)</x:f>
        <x:v>75</x:v>
      </x:c>
      <x:c r="R45" s="12" t="str">
        <x:v>required</x:v>
      </x:c>
      <x:c r="S45" s="12" t="str">
        <x:v>Black and white with spot color</x:v>
      </x:c>
      <x:c r="T45" s="12" t="str">
        <x:v>yes</x:v>
      </x:c>
      <x:c r="U45" s="12" t="str"/>
      <x:c r="V45" s="12" t="str">
        <x:v>Print folder</x:v>
      </x:c>
      <x:c r="W45" s="12" t="str">
        <x:v>2026-05-27</x:v>
      </x:c>
      <x:c r="X45" s="12" t="str">
        <x:v>planning line</x:v>
      </x:c>
      <x:c r="Y45" s="12" t="str">
        <x:v>Estimate only.</x:v>
      </x:c>
    </x:row>
    <x:row r="46">
      <x:c r="A46" s="12" t="str">
        <x:v>Shared</x:v>
      </x:c>
      <x:c r="B46" s="12" t="str">
        <x:v>Printing</x:v>
      </x:c>
      <x:c r="C46" s="12" t="str">
        <x:v>All signs</x:v>
      </x:c>
      <x:c r="D46" s="12" t="str">
        <x:v>printing</x:v>
      </x:c>
      <x:c r="E46" s="12" t="str">
        <x:v>Station signs, score slips, tokens, certificates</x:v>
      </x:c>
      <x:c r="F46" s="12" t="str">
        <x:v>Printable competition kit</x:v>
      </x:c>
      <x:c r="G46" s="12" t="str">
        <x:v>consumable</x:v>
      </x:c>
      <x:c r="H46" s="12" t="str">
        <x:v>no</x:v>
      </x:c>
      <x:c r="I46" s="12" t="str">
        <x:v>500 pages</x:v>
      </x:c>
      <x:c r="J46" s="12" t="str">
        <x:v>15 percent extra</x:v>
      </x:c>
      <x:c r="K46" s="12" t="str">
        <x:v>local print</x:v>
      </x:c>
      <x:c r="L46" s="12" t="str">
        <x:v>local purchase</x:v>
      </x:c>
      <x:c r="M46" s="12" t="str"/>
      <x:c r="N46" s="14" t="str">
        <x:v>60</x:v>
      </x:c>
      <x:c r="O46" s="12" t="str">
        <x:v>local estimate</x:v>
      </x:c>
      <x:c r="P46" s="12" t="str">
        <x:v>1</x:v>
      </x:c>
      <x:c r="Q46" s="14" t="n">
        <x:f>IFERROR(N46*P46,0)</x:f>
        <x:v>60</x:v>
      </x:c>
      <x:c r="R46" s="12" t="str">
        <x:v>required</x:v>
      </x:c>
      <x:c r="S46" s="12" t="str">
        <x:v>Use cardstock only for durable items</x:v>
      </x:c>
      <x:c r="T46" s="12" t="str">
        <x:v>yes</x:v>
      </x:c>
      <x:c r="U46" s="12" t="str"/>
      <x:c r="V46" s="12" t="str">
        <x:v>Print folder</x:v>
      </x:c>
      <x:c r="W46" s="12" t="str">
        <x:v>2026-05-27</x:v>
      </x:c>
      <x:c r="X46" s="12" t="str">
        <x:v>planning line</x:v>
      </x:c>
      <x:c r="Y46" s="12" t="str">
        <x:v>Estimate only.</x:v>
      </x:c>
    </x:row>
    <x:row r="47">
      <x:c r="A47" s="12" t="str">
        <x:v>From Trees to Tech</x:v>
      </x:c>
      <x:c r="B47" s="12" t="str">
        <x:v>TTB-01</x:v>
      </x:c>
      <x:c r="C47" s="12" t="str">
        <x:v>Root Grip Erosion Rescue</x:v>
      </x:c>
      <x:c r="D47" s="12" t="str">
        <x:v>backup kit</x:v>
      </x:c>
      <x:c r="E47" s="12" t="str">
        <x:v>trays, soil, string or yarn roots, craft sticks</x:v>
      </x:c>
      <x:c r="F47" s="12" t="str">
        <x:v>Backup-only activity materials</x:v>
      </x:c>
      <x:c r="G47" s="12" t="str">
        <x:v>mixed</x:v>
      </x:c>
      <x:c r="H47" s="12" t="str">
        <x:v>maybe yes</x:v>
      </x:c>
      <x:c r="I47" s="12" t="str">
        <x:v>6 team kits</x:v>
      </x:c>
      <x:c r="J47" s="12" t="str">
        <x:v>15 percent extra</x:v>
      </x:c>
      <x:c r="K47" s="12" t="str">
        <x:v>Amazon search for listed materials</x:v>
      </x:c>
      <x:c r="L47" s="12" t="str">
        <x:v>https://www.amazon.com/s?k=trays+soil+string+or+yarn+roots</x:v>
      </x:c>
      <x:c r="M47" s="12" t="str"/>
      <x:c r="N47" s="14" t="str"/>
      <x:c r="O47" s="12" t="str">
        <x:v>search URL only</x:v>
      </x:c>
      <x:c r="P47" s="12" t="str">
        <x:v>1</x:v>
      </x:c>
      <x:c r="Q47" s="14" t="n">
        <x:f>IFERROR(N47*P47,0)</x:f>
        <x:v>0</x:v>
      </x:c>
      <x:c r="R47" s="12" t="str">
        <x:v>backup-only</x:v>
      </x:c>
      <x:c r="S47" s="12" t="str">
        <x:v>Borrow or use existing supplies</x:v>
      </x:c>
      <x:c r="T47" s="12" t="str">
        <x:v>yes</x:v>
      </x:c>
      <x:c r="U47" s="12" t="str">
        <x:v>Use trays and wipe spills.</x:v>
      </x:c>
      <x:c r="V47" s="12" t="str">
        <x:v>TTB-01 backup bin</x:v>
      </x:c>
      <x:c r="W47" s="12" t="str">
        <x:v>2026-05-27</x:v>
      </x:c>
      <x:c r="X47" s="12" t="str">
        <x:v>EPA green infrastructure and erosion lessons</x:v>
      </x:c>
      <x:c r="Y47" s="12" t="str">
        <x:v>Backup-only. Do not order unless needed.</x:v>
      </x:c>
    </x:row>
    <x:row r="48">
      <x:c r="A48" s="12" t="str">
        <x:v>From Trees to Tech</x:v>
      </x:c>
      <x:c r="B48" s="12" t="str">
        <x:v>TTB-02</x:v>
      </x:c>
      <x:c r="C48" s="12" t="str">
        <x:v>Tree Height Triangulation Shootout</x:v>
      </x:c>
      <x:c r="D48" s="12" t="str">
        <x:v>backup kit</x:v>
      </x:c>
      <x:c r="E48" s="12" t="str">
        <x:v>clinometers, string, washers, rulers</x:v>
      </x:c>
      <x:c r="F48" s="12" t="str">
        <x:v>Backup-only activity materials</x:v>
      </x:c>
      <x:c r="G48" s="12" t="str">
        <x:v>mixed</x:v>
      </x:c>
      <x:c r="H48" s="12" t="str">
        <x:v>maybe yes</x:v>
      </x:c>
      <x:c r="I48" s="12" t="str">
        <x:v>6 team kits</x:v>
      </x:c>
      <x:c r="J48" s="12" t="str">
        <x:v>15 percent extra</x:v>
      </x:c>
      <x:c r="K48" s="12" t="str">
        <x:v>Amazon search for listed materials</x:v>
      </x:c>
      <x:c r="L48" s="12" t="str">
        <x:v>https://www.amazon.com/s?k=clinometers+string+washers</x:v>
      </x:c>
      <x:c r="M48" s="12" t="str"/>
      <x:c r="N48" s="14" t="str"/>
      <x:c r="O48" s="12" t="str">
        <x:v>search URL only</x:v>
      </x:c>
      <x:c r="P48" s="12" t="str">
        <x:v>1</x:v>
      </x:c>
      <x:c r="Q48" s="14" t="n">
        <x:f>IFERROR(N48*P48,0)</x:f>
        <x:v>0</x:v>
      </x:c>
      <x:c r="R48" s="12" t="str">
        <x:v>backup-only</x:v>
      </x:c>
      <x:c r="S48" s="12" t="str">
        <x:v>Borrow or use existing supplies</x:v>
      </x:c>
      <x:c r="T48" s="12" t="str">
        <x:v>yes</x:v>
      </x:c>
      <x:c r="U48" s="12" t="str">
        <x:v>Outdoor boundaries.</x:v>
      </x:c>
      <x:c r="V48" s="12" t="str">
        <x:v>TTB-02 backup bin</x:v>
      </x:c>
      <x:c r="W48" s="12" t="str">
        <x:v>2026-05-27</x:v>
      </x:c>
      <x:c r="X48" s="12" t="str">
        <x:v>GLOBE Trees Activities</x:v>
      </x:c>
      <x:c r="Y48" s="12" t="str">
        <x:v>Backup-only. Do not order unless needed.</x:v>
      </x:c>
    </x:row>
    <x:row r="49">
      <x:c r="A49" s="12" t="str">
        <x:v>From Trees to Tech</x:v>
      </x:c>
      <x:c r="B49" s="12" t="str">
        <x:v>TTB-03</x:v>
      </x:c>
      <x:c r="C49" s="12" t="str">
        <x:v>Urban Heat Shade Dash</x:v>
      </x:c>
      <x:c r="D49" s="12" t="str">
        <x:v>backup kit</x:v>
      </x:c>
      <x:c r="E49" s="12" t="str">
        <x:v>thermometers or IR thermometers, maps, clipboards</x:v>
      </x:c>
      <x:c r="F49" s="12" t="str">
        <x:v>Backup-only activity materials</x:v>
      </x:c>
      <x:c r="G49" s="12" t="str">
        <x:v>mixed</x:v>
      </x:c>
      <x:c r="H49" s="12" t="str">
        <x:v>maybe yes</x:v>
      </x:c>
      <x:c r="I49" s="12" t="str">
        <x:v>6 team kits</x:v>
      </x:c>
      <x:c r="J49" s="12" t="str">
        <x:v>15 percent extra</x:v>
      </x:c>
      <x:c r="K49" s="12" t="str">
        <x:v>Amazon search for listed materials</x:v>
      </x:c>
      <x:c r="L49" s="12" t="str">
        <x:v>https://www.amazon.com/s?k=thermometers+or+IR+thermometers+maps+clipboards</x:v>
      </x:c>
      <x:c r="M49" s="12" t="str"/>
      <x:c r="N49" s="14" t="str"/>
      <x:c r="O49" s="12" t="str">
        <x:v>search URL only</x:v>
      </x:c>
      <x:c r="P49" s="12" t="str">
        <x:v>1</x:v>
      </x:c>
      <x:c r="Q49" s="14" t="n">
        <x:f>IFERROR(N49*P49,0)</x:f>
        <x:v>0</x:v>
      </x:c>
      <x:c r="R49" s="12" t="str">
        <x:v>backup-only</x:v>
      </x:c>
      <x:c r="S49" s="12" t="str">
        <x:v>Borrow or use existing supplies</x:v>
      </x:c>
      <x:c r="T49" s="12" t="str">
        <x:v>yes</x:v>
      </x:c>
      <x:c r="U49" s="12" t="str">
        <x:v>Check heat index. Walk, do not run.</x:v>
      </x:c>
      <x:c r="V49" s="12" t="str">
        <x:v>TTB-03 backup bin</x:v>
      </x:c>
      <x:c r="W49" s="12" t="str">
        <x:v>2026-05-27</x:v>
      </x:c>
      <x:c r="X49" s="12" t="str">
        <x:v>NASA MyNASAData Urban Heat Island</x:v>
      </x:c>
      <x:c r="Y49" s="12" t="str">
        <x:v>Backup-only. Do not order unless needed.</x:v>
      </x:c>
    </x:row>
    <x:row r="50">
      <x:c r="A50" s="12" t="str">
        <x:v>From Trees to Tech</x:v>
      </x:c>
      <x:c r="B50" s="12" t="str">
        <x:v>TTB-04</x:v>
      </x:c>
      <x:c r="C50" s="12" t="str">
        <x:v>Photosynthesis Float-Off Playoffs</x:v>
      </x:c>
      <x:c r="D50" s="12" t="str">
        <x:v>backup kit</x:v>
      </x:c>
      <x:c r="E50" s="12" t="str">
        <x:v>spinach leaves, baking soda solution, cups, oral syringes without needles</x:v>
      </x:c>
      <x:c r="F50" s="12" t="str">
        <x:v>Backup-only activity materials</x:v>
      </x:c>
      <x:c r="G50" s="12" t="str">
        <x:v>mixed</x:v>
      </x:c>
      <x:c r="H50" s="12" t="str">
        <x:v>maybe yes</x:v>
      </x:c>
      <x:c r="I50" s="12" t="str">
        <x:v>6 team kits</x:v>
      </x:c>
      <x:c r="J50" s="12" t="str">
        <x:v>15 percent extra</x:v>
      </x:c>
      <x:c r="K50" s="12" t="str">
        <x:v>Amazon search for listed materials</x:v>
      </x:c>
      <x:c r="L50" s="12" t="str">
        <x:v>https://www.amazon.com/s?k=spinach+leaves+baking+soda+solution+cups</x:v>
      </x:c>
      <x:c r="M50" s="12" t="str"/>
      <x:c r="N50" s="14" t="str"/>
      <x:c r="O50" s="12" t="str">
        <x:v>search URL only</x:v>
      </x:c>
      <x:c r="P50" s="12" t="str">
        <x:v>1</x:v>
      </x:c>
      <x:c r="Q50" s="14" t="n">
        <x:f>IFERROR(N50*P50,0)</x:f>
        <x:v>0</x:v>
      </x:c>
      <x:c r="R50" s="12" t="str">
        <x:v>backup-only</x:v>
      </x:c>
      <x:c r="S50" s="12" t="str">
        <x:v>Borrow or use existing supplies</x:v>
      </x:c>
      <x:c r="T50" s="12" t="str">
        <x:v>yes</x:v>
      </x:c>
      <x:c r="U50" s="12" t="str">
        <x:v>No tasting. Handle syringes as lab tools.</x:v>
      </x:c>
      <x:c r="V50" s="12" t="str">
        <x:v>TTB-04 backup bin</x:v>
      </x:c>
      <x:c r="W50" s="12" t="str">
        <x:v>2026-05-27</x:v>
      </x:c>
      <x:c r="X50" s="12" t="str">
        <x:v>Exploratorium Photosynthetic Floatation</x:v>
      </x:c>
      <x:c r="Y50" s="12" t="str">
        <x:v>Backup-only. Do not order unless needed.</x:v>
      </x:c>
    </x:row>
    <x:row r="51">
      <x:c r="A51" s="12" t="str">
        <x:v>PY-STEM</x:v>
      </x:c>
      <x:c r="B51" s="12" t="str">
        <x:v>PYB-01</x:v>
      </x:c>
      <x:c r="C51" s="12" t="str">
        <x:v>Pencil Pressure Safety Lab</x:v>
      </x:c>
      <x:c r="D51" s="12" t="str">
        <x:v>backup kit</x:v>
      </x:c>
      <x:c r="E51" s="12" t="str">
        <x:v>pencils, foam, cardboard, weights</x:v>
      </x:c>
      <x:c r="F51" s="12" t="str">
        <x:v>Backup-only activity materials</x:v>
      </x:c>
      <x:c r="G51" s="12" t="str">
        <x:v>mixed</x:v>
      </x:c>
      <x:c r="H51" s="12" t="str">
        <x:v>maybe yes</x:v>
      </x:c>
      <x:c r="I51" s="12" t="str">
        <x:v>6 team kits</x:v>
      </x:c>
      <x:c r="J51" s="12" t="str">
        <x:v>15 percent extra</x:v>
      </x:c>
      <x:c r="K51" s="12" t="str">
        <x:v>Amazon search for listed materials</x:v>
      </x:c>
      <x:c r="L51" s="12" t="str">
        <x:v>https://www.amazon.com/s?k=pencils+foam+cardboard</x:v>
      </x:c>
      <x:c r="M51" s="12" t="str"/>
      <x:c r="N51" s="14" t="str"/>
      <x:c r="O51" s="12" t="str">
        <x:v>search URL only</x:v>
      </x:c>
      <x:c r="P51" s="12" t="str">
        <x:v>1</x:v>
      </x:c>
      <x:c r="Q51" s="14" t="n">
        <x:f>IFERROR(N51*P51,0)</x:f>
        <x:v>0</x:v>
      </x:c>
      <x:c r="R51" s="12" t="str">
        <x:v>backup-only</x:v>
      </x:c>
      <x:c r="S51" s="12" t="str">
        <x:v>Borrow or use existing supplies</x:v>
      </x:c>
      <x:c r="T51" s="12" t="str">
        <x:v>yes</x:v>
      </x:c>
      <x:c r="U51" s="12" t="str">
        <x:v>No skin tests. Use foam only.</x:v>
      </x:c>
      <x:c r="V51" s="12" t="str">
        <x:v>PYB-01 backup bin</x:v>
      </x:c>
      <x:c r="W51" s="12" t="str">
        <x:v>2026-05-27</x:v>
      </x:c>
      <x:c r="X51" s="12" t="str">
        <x:v>IIHS Pencil Pressure</x:v>
      </x:c>
      <x:c r="Y51" s="12" t="str">
        <x:v>Backup-only. Do not order unless needed.</x:v>
      </x:c>
    </x:row>
    <x:row r="52">
      <x:c r="A52" s="12" t="str">
        <x:v>PY-STEM</x:v>
      </x:c>
      <x:c r="B52" s="12" t="str">
        <x:v>PYB-02</x:v>
      </x:c>
      <x:c r="C52" s="12" t="str">
        <x:v>Domino Neuron Relay</x:v>
      </x:c>
      <x:c r="D52" s="12" t="str">
        <x:v>backup kit</x:v>
      </x:c>
      <x:c r="E52" s="12" t="str">
        <x:v>dominoes, rulers, tape, index cards</x:v>
      </x:c>
      <x:c r="F52" s="12" t="str">
        <x:v>Backup-only activity materials</x:v>
      </x:c>
      <x:c r="G52" s="12" t="str">
        <x:v>mixed</x:v>
      </x:c>
      <x:c r="H52" s="12" t="str">
        <x:v>maybe yes</x:v>
      </x:c>
      <x:c r="I52" s="12" t="str">
        <x:v>6 team kits</x:v>
      </x:c>
      <x:c r="J52" s="12" t="str">
        <x:v>15 percent extra</x:v>
      </x:c>
      <x:c r="K52" s="12" t="str">
        <x:v>Amazon search for listed materials</x:v>
      </x:c>
      <x:c r="L52" s="12" t="str">
        <x:v>https://www.amazon.com/s?k=dominoes+rulers+tape</x:v>
      </x:c>
      <x:c r="M52" s="12" t="str"/>
      <x:c r="N52" s="14" t="str"/>
      <x:c r="O52" s="12" t="str">
        <x:v>search URL only</x:v>
      </x:c>
      <x:c r="P52" s="12" t="str">
        <x:v>1</x:v>
      </x:c>
      <x:c r="Q52" s="14" t="n">
        <x:f>IFERROR(N52*P52,0)</x:f>
        <x:v>0</x:v>
      </x:c>
      <x:c r="R52" s="12" t="str">
        <x:v>backup-only</x:v>
      </x:c>
      <x:c r="S52" s="12" t="str">
        <x:v>Borrow or use existing supplies</x:v>
      </x:c>
      <x:c r="T52" s="12" t="str">
        <x:v>yes</x:v>
      </x:c>
      <x:c r="U52" s="12" t="str">
        <x:v>Low risk.</x:v>
      </x:c>
      <x:c r="V52" s="12" t="str">
        <x:v>PYB-02 backup bin</x:v>
      </x:c>
      <x:c r="W52" s="12" t="str">
        <x:v>2026-05-27</x:v>
      </x:c>
      <x:c r="X52" s="12" t="str">
        <x:v>Exploratorium Domino Effect</x:v>
      </x:c>
      <x:c r="Y52" s="12" t="str">
        <x:v>Backup-only. Do not order unless needed.</x:v>
      </x:c>
    </x:row>
    <x:row r="53">
      <x:c r="A53" s="12" t="str">
        <x:v>PY-STEM</x:v>
      </x:c>
      <x:c r="B53" s="12" t="str">
        <x:v>PYB-03</x:v>
      </x:c>
      <x:c r="C53" s="12" t="str">
        <x:v>Pulley Rescue Relay</x:v>
      </x:c>
      <x:c r="D53" s="12" t="str">
        <x:v>backup kit</x:v>
      </x:c>
      <x:c r="E53" s="12" t="str">
        <x:v>classroom pulleys, string, weights, spring scales if available</x:v>
      </x:c>
      <x:c r="F53" s="12" t="str">
        <x:v>Backup-only activity materials</x:v>
      </x:c>
      <x:c r="G53" s="12" t="str">
        <x:v>mixed</x:v>
      </x:c>
      <x:c r="H53" s="12" t="str">
        <x:v>maybe yes</x:v>
      </x:c>
      <x:c r="I53" s="12" t="str">
        <x:v>6 team kits</x:v>
      </x:c>
      <x:c r="J53" s="12" t="str">
        <x:v>15 percent extra</x:v>
      </x:c>
      <x:c r="K53" s="12" t="str">
        <x:v>Amazon search for listed materials</x:v>
      </x:c>
      <x:c r="L53" s="12" t="str">
        <x:v>https://www.amazon.com/s?k=classroom+pulleys+string+weights</x:v>
      </x:c>
      <x:c r="M53" s="12" t="str"/>
      <x:c r="N53" s="14" t="str"/>
      <x:c r="O53" s="12" t="str">
        <x:v>search URL only</x:v>
      </x:c>
      <x:c r="P53" s="12" t="str">
        <x:v>1</x:v>
      </x:c>
      <x:c r="Q53" s="14" t="n">
        <x:f>IFERROR(N53*P53,0)</x:f>
        <x:v>0</x:v>
      </x:c>
      <x:c r="R53" s="12" t="str">
        <x:v>backup-only</x:v>
      </x:c>
      <x:c r="S53" s="12" t="str">
        <x:v>Borrow or use existing supplies</x:v>
      </x:c>
      <x:c r="T53" s="12" t="str">
        <x:v>yes</x:v>
      </x:c>
      <x:c r="U53" s="12" t="str">
        <x:v>Keep feet clear of loads.</x:v>
      </x:c>
      <x:c r="V53" s="12" t="str">
        <x:v>PYB-03 backup bin</x:v>
      </x:c>
      <x:c r="W53" s="12" t="str">
        <x:v>2026-05-27</x:v>
      </x:c>
      <x:c r="X53" s="12" t="str">
        <x:v>TryEngineering Pulleys and Force</x:v>
      </x:c>
      <x:c r="Y53" s="12" t="str">
        <x:v>Backup-only. Do not order unless needed.</x:v>
      </x:c>
    </x:row>
    <x:row r="54">
      <x:c r="A54" s="12" t="str">
        <x:v>PY-STEM</x:v>
      </x:c>
      <x:c r="B54" s="12" t="str">
        <x:v>PYB-04</x:v>
      </x:c>
      <x:c r="C54" s="12" t="str">
        <x:v>Barcode Checksum Rescue</x:v>
      </x:c>
      <x:c r="D54" s="12" t="str">
        <x:v>backup kit</x:v>
      </x:c>
      <x:c r="E54" s="12" t="str">
        <x:v>printed barcode cards, dry erase boards, timers</x:v>
      </x:c>
      <x:c r="F54" s="12" t="str">
        <x:v>Backup-only activity materials</x:v>
      </x:c>
      <x:c r="G54" s="12" t="str">
        <x:v>mixed</x:v>
      </x:c>
      <x:c r="H54" s="12" t="str">
        <x:v>maybe yes</x:v>
      </x:c>
      <x:c r="I54" s="12" t="str">
        <x:v>6 team kits</x:v>
      </x:c>
      <x:c r="J54" s="12" t="str">
        <x:v>15 percent extra</x:v>
      </x:c>
      <x:c r="K54" s="12" t="str">
        <x:v>Amazon search for listed materials</x:v>
      </x:c>
      <x:c r="L54" s="12" t="str">
        <x:v>https://www.amazon.com/s?k=printed+barcode+cards+dry+erase+boards+timers</x:v>
      </x:c>
      <x:c r="M54" s="12" t="str"/>
      <x:c r="N54" s="14" t="str"/>
      <x:c r="O54" s="12" t="str">
        <x:v>search URL only</x:v>
      </x:c>
      <x:c r="P54" s="12" t="str">
        <x:v>1</x:v>
      </x:c>
      <x:c r="Q54" s="14" t="n">
        <x:f>IFERROR(N54*P54,0)</x:f>
        <x:v>0</x:v>
      </x:c>
      <x:c r="R54" s="12" t="str">
        <x:v>backup-only</x:v>
      </x:c>
      <x:c r="S54" s="12" t="str">
        <x:v>Borrow or use existing supplies</x:v>
      </x:c>
      <x:c r="T54" s="12" t="str">
        <x:v>yes</x:v>
      </x:c>
      <x:c r="U54" s="12" t="str">
        <x:v>Normal classroom management.</x:v>
      </x:c>
      <x:c r="V54" s="12" t="str">
        <x:v>PYB-04 backup bin</x:v>
      </x:c>
      <x:c r="W54" s="12" t="str">
        <x:v>2026-05-27</x:v>
      </x:c>
      <x:c r="X54" s="12" t="str">
        <x:v>Computer science unplugged error-detection concepts</x:v>
      </x:c>
      <x:c r="Y54" s="12" t="str">
        <x:v>Backup-only. Do not order unless needed.</x:v>
      </x:c>
    </x:row>
  </x:sheetData>
  <x:conditionalFormatting sqref="O2:O54">
    <x:cfRule type="expression" dxfId="28" priority="1">
      <x:formula>O2="unverified"</x:formula>
    </x:cfRule>
    <x:cfRule type="expression" dxfId="29" priority="2">
      <x:formula>O2="search URL only"</x:formula>
    </x:cfRule>
  </x:conditionalFormatting>
  <x:conditionalFormatting sqref="R2:R54">
    <x:cfRule type="expression" dxfId="30" priority="3">
      <x:formula>R2="required"</x:formula>
    </x:cfRule>
    <x:cfRule type="expression" dxfId="31" priority="4">
      <x:formula>R2="backup-only"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6007e48b2f45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70" hidden="0" customWidth="1"/>
  </x:cols>
  <x:sheetData>
    <x:row r="1">
      <x:c r="A1" s="20" t="str">
        <x:v>Scenario</x:v>
      </x:c>
      <x:c r="B1" s="20" t="str">
        <x:v>From Trees to Tech</x:v>
      </x:c>
      <x:c r="C1" s="20" t="str">
        <x:v>PY-STEM</x:v>
      </x:c>
      <x:c r="D1" s="20" t="str">
        <x:v>Shared safety and PPE</x:v>
      </x:c>
      <x:c r="E1" s="20" t="str">
        <x:v>Prizes and rewards</x:v>
      </x:c>
      <x:c r="F1" s="20" t="str">
        <x:v>Printing and supplies</x:v>
      </x:c>
      <x:c r="G1" s="20" t="str">
        <x:v>Backup-only</x:v>
      </x:c>
      <x:c r="H1" s="20" t="str">
        <x:v>Total</x:v>
      </x:c>
      <x:c r="I1" s="20" t="str">
        <x:v>Assumptions</x:v>
      </x:c>
    </x:row>
    <x:row r="2">
      <x:c r="A2" t="str">
        <x:v>Preferred</x:v>
      </x:c>
      <x:c r="B2" s="22" t="n">
        <x:f>SUMIFS('From Trees to Tech materials'!Q:Q,'From Trees to Tech materials'!R:R,"&lt;&gt;backup-only")</x:f>
        <x:v>604</x:v>
      </x:c>
      <x:c r="C2" s="22" t="n">
        <x:f>SUMIFS('PY-STEM materials'!Q:Q,'PY-STEM materials'!R:R,"&lt;&gt;backup-only")</x:f>
        <x:v>311.47</x:v>
      </x:c>
      <x:c r="D2" s="22" t="n">
        <x:f>SUMIFS('Safety and PPE'!Q:Q,'Safety and PPE'!R:R,"required")</x:f>
        <x:v>104</x:v>
      </x:c>
      <x:c r="E2" s="22" t="n">
        <x:f>SUM('Prizes and rewards'!Q:Q)</x:f>
        <x:v>107</x:v>
      </x:c>
      <x:c r="F2" s="22" t="n">
        <x:f>SUM('Printing and supplies'!Q:Q)</x:f>
        <x:v>135</x:v>
      </x:c>
      <x:c r="G2" s="22" t="n">
        <x:f>SUM('Backup-only materials'!Q:Q)</x:f>
        <x:v>96</x:v>
      </x:c>
      <x:c r="H2" s="22" t="n">
        <x:f>SUM(B2:G2)</x:f>
        <x:v>1357.47</x:v>
      </x:c>
      <x:c r="I2" t="str">
        <x:v>Includes required and recommended purchases with many prices unverified.</x:v>
      </x:c>
    </x:row>
    <x:row r="3">
      <x:c r="A3" t="str">
        <x:v>Low-cost</x:v>
      </x:c>
      <x:c r="B3" s="22" t="n">
        <x:f>SUMIFS('From Trees to Tech materials'!Q:Q,'From Trees to Tech materials'!R:R,"required")</x:f>
        <x:v>438</x:v>
      </x:c>
      <x:c r="C3" s="22" t="n">
        <x:f>SUMIFS('PY-STEM materials'!Q:Q,'PY-STEM materials'!R:R,"required")</x:f>
        <x:v>177.98000000000002</x:v>
      </x:c>
      <x:c r="D3" s="22" t="n">
        <x:f>SUMIFS('Safety and PPE'!Q:Q,'Safety and PPE'!R:R,"required")</x:f>
        <x:v>104</x:v>
      </x:c>
      <x:c r="E3" s="22" t="n">
        <x:f>SUMIFS('Prizes and rewards'!Q:Q,'Prizes and rewards'!R:R,"prize")*0.65</x:f>
        <x:v>69.55</x:v>
      </x:c>
      <x:c r="F3" s="22" t="n">
        <x:f>SUM('Printing and supplies'!Q:Q)*0.75</x:f>
        <x:v>101.25</x:v>
      </x:c>
      <x:c r="G3" s="22" t="n">
        <x:f>0</x:f>
        <x:v>0</x:v>
      </x:c>
      <x:c r="H3" s="22" t="n">
        <x:f>SUM(B3:G3)</x:f>
        <x:v>890.78</x:v>
      </x:c>
      <x:c r="I3" t="str">
        <x:v>Borrow devices, borrow meters, buy only required consumables and safety items.</x:v>
      </x:c>
    </x:row>
    <x:row r="4">
      <x:c r="A4" t="str">
        <x:v>No new specialty kits</x:v>
      </x:c>
      <x:c r="B4" s="22" t="n">
        <x:f>SUMIFS('From Trees to Tech materials'!Q:Q,'From Trees to Tech materials'!E:E,"&lt;&gt;MudWatt or equivalent microbial fuel cell kits")</x:f>
        <x:v>334</x:v>
      </x:c>
      <x:c r="C4" s="22" t="n">
        <x:f>SUM('PY-STEM materials'!Q:Q)</x:f>
        <x:v>311.47</x:v>
      </x:c>
      <x:c r="D4" s="22" t="n">
        <x:f>SUM('Safety and PPE'!Q:Q)</x:f>
        <x:v>104</x:v>
      </x:c>
      <x:c r="E4" s="22" t="n">
        <x:f>SUM('Prizes and rewards'!Q:Q)</x:f>
        <x:v>107</x:v>
      </x:c>
      <x:c r="F4" s="22" t="n">
        <x:f>SUM('Printing and supplies'!Q:Q)</x:f>
        <x:v>135</x:v>
      </x:c>
      <x:c r="G4" s="22" t="n">
        <x:f>0</x:f>
        <x:v>0</x:v>
      </x:c>
      <x:c r="H4" s="22" t="n">
        <x:f>SUM(B4:G4)</x:f>
        <x:v>991.47</x:v>
      </x:c>
      <x:c r="I4" t="str">
        <x:v>Assumes MudWatt kits already exist or are borrowed.</x:v>
      </x:c>
    </x:row>
  </x:sheetData>
  <x:pageMargins left="0.7" right="0.7" top="0.75" bottom="0.75" header="0.3" footer="0.3"/>
  <x:tableParts count="1">
    <x:tablePart xmlns:r="http://schemas.openxmlformats.org/officeDocument/2006/relationships" r:id="R754430678cc5470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60" hidden="0" customWidth="1"/>
    <x:col min="5" max="5" width="18" hidden="0" customWidth="1"/>
    <x:col min="6" max="6" width="18" hidden="0" customWidth="1"/>
    <x:col min="7" max="7" width="35" hidden="0" customWidth="1"/>
  </x:cols>
  <x:sheetData>
    <x:row r="1">
      <x:c r="A1" s="4" t="str">
        <x:v>Bin/Kit</x:v>
      </x:c>
      <x:c r="B1" s="4" t="str">
        <x:v>Camp</x:v>
      </x:c>
      <x:c r="C1" s="4" t="str">
        <x:v>Activities</x:v>
      </x:c>
      <x:c r="D1" s="4" t="str">
        <x:v>Contents</x:v>
      </x:c>
      <x:c r="E1" s="4" t="str">
        <x:v>Pack owner</x:v>
      </x:c>
      <x:c r="F1" s="4" t="str">
        <x:v>Storage location</x:v>
      </x:c>
      <x:c r="G1" s="4" t="str">
        <x:v>Reset notes</x:v>
      </x:c>
    </x:row>
    <x:row r="2">
      <x:c r="A2" s="10" t="str">
        <x:v>TTT-01 kit</x:v>
      </x:c>
      <x:c r="B2" s="10" t="str">
        <x:v>From Trees to Tech</x:v>
      </x:c>
      <x:c r="C2" s="10" t="str">
        <x:v>TTT-01 MudWatt Bioelectric League</x:v>
      </x:c>
      <x:c r="D2" s="10" t="str">
        <x:v>6 MudWatt or equivalent microbial fuel cell kits, fresh soil or mud samples, nitrile gloves, labels and masking tape, optional multimeters, handwashing supplies</x:v>
      </x:c>
      <x:c r="E2" s="10" t="str"/>
      <x:c r="F2" s="10" t="str"/>
      <x:c r="G2" s="10" t="str">
        <x:v>Check consumables, reset score slips, return reusable tools.</x:v>
      </x:c>
    </x:row>
    <x:row r="3">
      <x:c r="A3" s="10" t="str">
        <x:v>TTT-02 kit</x:v>
      </x:c>
      <x:c r="B3" s="10" t="str">
        <x:v>From Trees to Tech</x:v>
      </x:c>
      <x:c r="C3" s="10" t="str">
        <x:v>TTT-02 Forest Sensor Sprint</x:v>
      </x:c>
      <x:c r="D3" s="10" t="str">
        <x:v>6 clipboards, 6 paper clinometers, 6 thermometers or hygrometers, 6 soil moisture meters if available, route cards, pencils</x:v>
      </x:c>
      <x:c r="E3" s="10" t="str"/>
      <x:c r="F3" s="10" t="str"/>
      <x:c r="G3" s="10" t="str">
        <x:v>Check consumables, reset score slips, return reusable tools.</x:v>
      </x:c>
    </x:row>
    <x:row r="4">
      <x:c r="A4" s="10" t="str">
        <x:v>TTT-03 kit</x:v>
      </x:c>
      <x:c r="B4" s="10" t="str">
        <x:v>From Trees to Tech</x:v>
      </x:c>
      <x:c r="C4" s="10" t="str">
        <x:v>TTT-03 Seed Dispersal Derby</x:v>
      </x:c>
      <x:c r="D4" s="10" t="str">
        <x:v>paper, cardstock, paper clips, masking tape, string, fan or marked test lane</x:v>
      </x:c>
      <x:c r="E4" s="10" t="str"/>
      <x:c r="F4" s="10" t="str"/>
      <x:c r="G4" s="10" t="str">
        <x:v>Check consumables, reset score slips, return reusable tools.</x:v>
      </x:c>
    </x:row>
    <x:row r="5">
      <x:c r="A5" s="10" t="str">
        <x:v>TTT-04 kit</x:v>
      </x:c>
      <x:c r="B5" s="10" t="str">
        <x:v>From Trees to Tech</x:v>
      </x:c>
      <x:c r="C5" s="10" t="str">
        <x:v>TTT-04 Xylem Pipeline Relay</x:v>
      </x:c>
      <x:c r="D5" s="10" t="str">
        <x:v>paper towels, cotton string, felt strips, cups, food coloring, trays</x:v>
      </x:c>
      <x:c r="E5" s="10" t="str"/>
      <x:c r="F5" s="10" t="str"/>
      <x:c r="G5" s="10" t="str">
        <x:v>Check consumables, reset score slips, return reusable tools.</x:v>
      </x:c>
    </x:row>
    <x:row r="6">
      <x:c r="A6" s="10" t="str">
        <x:v>TTT-05 kit</x:v>
      </x:c>
      <x:c r="B6" s="10" t="str">
        <x:v>From Trees to Tech</x:v>
      </x:c>
      <x:c r="C6" s="10" t="str">
        <x:v>TTT-05 Greenhouse Climate Controller Challenge</x:v>
      </x:c>
      <x:c r="D6" s="10" t="str">
        <x:v>plant profile cards, control dial boards, clipboards, dry erase markers, tour clue sheets</x:v>
      </x:c>
      <x:c r="E6" s="10" t="str"/>
      <x:c r="F6" s="10" t="str"/>
      <x:c r="G6" s="10" t="str">
        <x:v>Check consumables, reset score slips, return reusable tools.</x:v>
      </x:c>
    </x:row>
    <x:row r="7">
      <x:c r="A7" s="10" t="str">
        <x:v>TTT-06 kit</x:v>
      </x:c>
      <x:c r="B7" s="10" t="str">
        <x:v>From Trees to Tech</x:v>
      </x:c>
      <x:c r="C7" s="10" t="str">
        <x:v>TTT-06 Pinecone Weather Machine Challenge</x:v>
      </x:c>
      <x:c r="D7" s="10" t="str">
        <x:v>dry pine cones, index cards, wood skewers, spray bottles, rulers, masking tape</x:v>
      </x:c>
      <x:c r="E7" s="10" t="str"/>
      <x:c r="F7" s="10" t="str"/>
      <x:c r="G7" s="10" t="str">
        <x:v>Check consumables, reset score slips, return reusable tools.</x:v>
      </x:c>
    </x:row>
    <x:row r="8">
      <x:c r="A8" s="10" t="str">
        <x:v>TTT-07 kit</x:v>
      </x:c>
      <x:c r="B8" s="10" t="str">
        <x:v>From Trees to Tech</x:v>
      </x:c>
      <x:c r="C8" s="10" t="str">
        <x:v>TTT-07 Pollinator Network Draft and Build</x:v>
      </x:c>
      <x:c r="D8" s="10" t="str">
        <x:v>plant cards, pollinator cards, grid boards, stickers, markers, season tokens</x:v>
      </x:c>
      <x:c r="E8" s="10" t="str"/>
      <x:c r="F8" s="10" t="str"/>
      <x:c r="G8" s="10" t="str">
        <x:v>Check consumables, reset score slips, return reusable tools.</x:v>
      </x:c>
    </x:row>
    <x:row r="9">
      <x:c r="A9" s="10" t="str">
        <x:v>TTT-08 kit</x:v>
      </x:c>
      <x:c r="B9" s="10" t="str">
        <x:v>From Trees to Tech</x:v>
      </x:c>
      <x:c r="C9" s="10" t="str">
        <x:v>TTT-08 Arboretum Eco-Quest</x:v>
      </x:c>
      <x:c r="D9" s="10" t="str">
        <x:v>clue cards, route map, clipboards, pencils, evidence token bags, optional QR codes</x:v>
      </x:c>
      <x:c r="E9" s="10" t="str"/>
      <x:c r="F9" s="10" t="str"/>
      <x:c r="G9" s="10" t="str">
        <x:v>Check consumables, reset score slips, return reusable tools.</x:v>
      </x:c>
    </x:row>
    <x:row r="10">
      <x:c r="A10" s="10" t="str">
        <x:v>TTT-09 kit</x:v>
      </x:c>
      <x:c r="B10" s="10" t="str">
        <x:v>From Trees to Tech</x:v>
      </x:c>
      <x:c r="C10" s="10" t="str">
        <x:v>TTT-09 Minecraft Tree World Resilience Cup</x:v>
      </x:c>
      <x:c r="D10" s="10" t="str">
        <x:v>Minecraft Education devices and template or paper grid kit, rubric cards, display timer</x:v>
      </x:c>
      <x:c r="E10" s="10" t="str"/>
      <x:c r="F10" s="10" t="str"/>
      <x:c r="G10" s="10" t="str">
        <x:v>Check consumables, reset score slips, return reusable tools.</x:v>
      </x:c>
    </x:row>
    <x:row r="11">
      <x:c r="A11" s="10" t="str">
        <x:v>TTT-10 kit</x:v>
      </x:c>
      <x:c r="B11" s="10" t="str">
        <x:v>From Trees to Tech</x:v>
      </x:c>
      <x:c r="C11" s="10" t="str">
        <x:v>TTT-10 Tree Ring Climate Detective Tournament</x:v>
      </x:c>
      <x:c r="D11" s="10" t="str">
        <x:v>printed ring cards, wood cookies or images, answer boards, timers, claim-evidence cards</x:v>
      </x:c>
      <x:c r="E11" s="10" t="str"/>
      <x:c r="F11" s="10" t="str"/>
      <x:c r="G11" s="10" t="str">
        <x:v>Check consumables, reset score slips, return reusable tools.</x:v>
      </x:c>
    </x:row>
    <x:row r="12">
      <x:c r="A12" s="10" t="str">
        <x:v>TTT-11 kit</x:v>
      </x:c>
      <x:c r="B12" s="10" t="str">
        <x:v>From Trees to Tech</x:v>
      </x:c>
      <x:c r="C12" s="10" t="str">
        <x:v>TTT-11 Lotus Leaf Surface Sprint</x:v>
      </x:c>
      <x:c r="D12" s="10" t="str">
        <x:v>wax paper, cardstock, sandpaper strips, masking tape, pipettes, water</x:v>
      </x:c>
      <x:c r="E12" s="10" t="str"/>
      <x:c r="F12" s="10" t="str"/>
      <x:c r="G12" s="10" t="str">
        <x:v>Check consumables, reset score slips, return reusable tools.</x:v>
      </x:c>
    </x:row>
    <x:row r="13">
      <x:c r="A13" s="10" t="str">
        <x:v>TTT-12 kit</x:v>
      </x:c>
      <x:c r="B13" s="10" t="str">
        <x:v>From Trees to Tech</x:v>
      </x:c>
      <x:c r="C13" s="10" t="str">
        <x:v>TTT-12 Leaf Stomata Microscope Detective</x:v>
      </x:c>
      <x:c r="D13" s="10" t="str">
        <x:v>leaf samples, clear tape, clear nail polish or prepared slides, USB microscopes or magnifiers, grid sheets, gloves</x:v>
      </x:c>
      <x:c r="E13" s="10" t="str"/>
      <x:c r="F13" s="10" t="str"/>
      <x:c r="G13" s="10" t="str">
        <x:v>Check consumables, reset score slips, return reusable tools.</x:v>
      </x:c>
    </x:row>
    <x:row r="14">
      <x:c r="A14" s="10" t="str">
        <x:v>TTB-01 kit</x:v>
      </x:c>
      <x:c r="B14" s="10" t="str">
        <x:v>From Trees to Tech</x:v>
      </x:c>
      <x:c r="C14" s="10" t="str">
        <x:v>TTB-01 Root Grip Erosion Rescue</x:v>
      </x:c>
      <x:c r="D14" s="10" t="str">
        <x:v>trays, soil, string or yarn roots, craft sticks, watering cups</x:v>
      </x:c>
      <x:c r="E14" s="10" t="str"/>
      <x:c r="F14" s="10" t="str"/>
      <x:c r="G14" s="10" t="str">
        <x:v>Check consumables, reset score slips, return reusable tools.</x:v>
      </x:c>
    </x:row>
    <x:row r="15">
      <x:c r="A15" s="10" t="str">
        <x:v>TTB-02 kit</x:v>
      </x:c>
      <x:c r="B15" s="10" t="str">
        <x:v>From Trees to Tech</x:v>
      </x:c>
      <x:c r="C15" s="10" t="str">
        <x:v>TTB-02 Tree Height Triangulation Shootout</x:v>
      </x:c>
      <x:c r="D15" s="10" t="str">
        <x:v>clinometers, string, washers, rulers, clipboards</x:v>
      </x:c>
      <x:c r="E15" s="10" t="str"/>
      <x:c r="F15" s="10" t="str"/>
      <x:c r="G15" s="10" t="str">
        <x:v>Check consumables, reset score slips, return reusable tools.</x:v>
      </x:c>
    </x:row>
    <x:row r="16">
      <x:c r="A16" s="10" t="str">
        <x:v>TTB-03 kit</x:v>
      </x:c>
      <x:c r="B16" s="10" t="str">
        <x:v>From Trees to Tech</x:v>
      </x:c>
      <x:c r="C16" s="10" t="str">
        <x:v>TTB-03 Urban Heat Shade Dash</x:v>
      </x:c>
      <x:c r="D16" s="10" t="str">
        <x:v>thermometers or IR thermometers, maps, clipboards</x:v>
      </x:c>
      <x:c r="E16" s="10" t="str"/>
      <x:c r="F16" s="10" t="str"/>
      <x:c r="G16" s="10" t="str">
        <x:v>Check consumables, reset score slips, return reusable tools.</x:v>
      </x:c>
    </x:row>
    <x:row r="17">
      <x:c r="A17" s="10" t="str">
        <x:v>TTB-04 kit</x:v>
      </x:c>
      <x:c r="B17" s="10" t="str">
        <x:v>From Trees to Tech</x:v>
      </x:c>
      <x:c r="C17" s="10" t="str">
        <x:v>TTB-04 Photosynthesis Float-Off Playoffs</x:v>
      </x:c>
      <x:c r="D17" s="10" t="str">
        <x:v>spinach leaves, baking soda solution, cups, oral syringes without needles, timers</x:v>
      </x:c>
      <x:c r="E17" s="10" t="str"/>
      <x:c r="F17" s="10" t="str"/>
      <x:c r="G17" s="10" t="str">
        <x:v>Check consumables, reset score slips, return reusable tools.</x:v>
      </x:c>
    </x:row>
    <x:row r="18">
      <x:c r="A18" s="10" t="str">
        <x:v>PYS-01 kit</x:v>
      </x:c>
      <x:c r="B18" s="10" t="str">
        <x:v>PY-STEM</x:v>
      </x:c>
      <x:c r="C18" s="10" t="str">
        <x:v>PYS-01 Magnetic Capsule Maze Cup</x:v>
      </x:c>
      <x:c r="D18" s="10" t="str">
        <x:v>small neodymium magnets, maze boards, steel tokens or paper clips, timers, barrier sheets</x:v>
      </x:c>
      <x:c r="E18" s="10" t="str"/>
      <x:c r="F18" s="10" t="str"/>
      <x:c r="G18" s="10" t="str">
        <x:v>Check consumables, reset score slips, return reusable tools.</x:v>
      </x:c>
    </x:row>
    <x:row r="19">
      <x:c r="A19" s="10" t="str">
        <x:v>PYS-02 kit</x:v>
      </x:c>
      <x:c r="B19" s="10" t="str">
        <x:v>PY-STEM</x:v>
      </x:c>
      <x:c r="C19" s="10" t="str">
        <x:v>PYS-02 Oobleck Armor Arena</x:v>
      </x:c>
      <x:c r="D19" s="10" t="str">
        <x:v>cornstarch, water, zip bags, cardboard sleeves, test weights, spoons</x:v>
      </x:c>
      <x:c r="E19" s="10" t="str"/>
      <x:c r="F19" s="10" t="str"/>
      <x:c r="G19" s="10" t="str">
        <x:v>Check consumables, reset score slips, return reusable tools.</x:v>
      </x:c>
    </x:row>
    <x:row r="20">
      <x:c r="A20" s="10" t="str">
        <x:v>PYS-03 kit</x:v>
      </x:c>
      <x:c r="B20" s="10" t="str">
        <x:v>PY-STEM</x:v>
      </x:c>
      <x:c r="C20" s="10" t="str">
        <x:v>PYS-03 Cardboard Automata Arcade</x:v>
      </x:c>
      <x:c r="D20" s="10" t="str">
        <x:v>cardboard, skewers, straws, craft sticks, tape, hot glue station</x:v>
      </x:c>
      <x:c r="E20" s="10" t="str"/>
      <x:c r="F20" s="10" t="str"/>
      <x:c r="G20" s="10" t="str">
        <x:v>Check consumables, reset score slips, return reusable tools.</x:v>
      </x:c>
    </x:row>
    <x:row r="21">
      <x:c r="A21" s="10" t="str">
        <x:v>PYS-04 kit</x:v>
      </x:c>
      <x:c r="B21" s="10" t="str">
        <x:v>PY-STEM</x:v>
      </x:c>
      <x:c r="C21" s="10" t="str">
        <x:v>PYS-04 Stethoscope Sprint and Recovery Challenge</x:v>
      </x:c>
      <x:c r="D21" s="10" t="str">
        <x:v>funnels, flexible tubing, tape, balloons or membranes, stopwatches, sanitizing wipes</x:v>
      </x:c>
      <x:c r="E21" s="10" t="str"/>
      <x:c r="F21" s="10" t="str"/>
      <x:c r="G21" s="10" t="str">
        <x:v>Check consumables, reset score slips, return reusable tools.</x:v>
      </x:c>
    </x:row>
    <x:row r="22">
      <x:c r="A22" s="10" t="str">
        <x:v>PYS-05 kit</x:v>
      </x:c>
      <x:c r="B22" s="10" t="str">
        <x:v>PY-STEM</x:v>
      </x:c>
      <x:c r="C22" s="10" t="str">
        <x:v>PYS-05 Reaction Time Combine</x:v>
      </x:c>
      <x:c r="D22" s="10" t="str">
        <x:v>meter sticks, stopwatches, cones, score sheets, clipboards</x:v>
      </x:c>
      <x:c r="E22" s="10" t="str"/>
      <x:c r="F22" s="10" t="str"/>
      <x:c r="G22" s="10" t="str">
        <x:v>Check consumables, reset score slips, return reusable tools.</x:v>
      </x:c>
    </x:row>
    <x:row r="23">
      <x:c r="A23" s="10" t="str">
        <x:v>PYS-06 kit</x:v>
      </x:c>
      <x:c r="B23" s="10" t="str">
        <x:v>PY-STEM</x:v>
      </x:c>
      <x:c r="C23" s="10" t="str">
        <x:v>PYS-06 SONAR Slinky Showdown</x:v>
      </x:c>
      <x:c r="D23" s="10" t="str">
        <x:v>4 to 6 metal slinkies, floor tape, station cards, clipboards</x:v>
      </x:c>
      <x:c r="E23" s="10" t="str"/>
      <x:c r="F23" s="10" t="str"/>
      <x:c r="G23" s="10" t="str">
        <x:v>Check consumables, reset score slips, return reusable tools.</x:v>
      </x:c>
    </x:row>
    <x:row r="24">
      <x:c r="A24" s="10" t="str">
        <x:v>PYS-07 kit</x:v>
      </x:c>
      <x:c r="B24" s="10" t="str">
        <x:v>PY-STEM</x:v>
      </x:c>
      <x:c r="C24" s="10" t="str">
        <x:v>PYS-07 Pinhole Precision Challenge</x:v>
      </x:c>
      <x:c r="D24" s="10" t="str">
        <x:v>cardstock, foil, tape, pushpins or paper clips, white screen paper, light source</x:v>
      </x:c>
      <x:c r="E24" s="10" t="str"/>
      <x:c r="F24" s="10" t="str"/>
      <x:c r="G24" s="10" t="str">
        <x:v>Check consumables, reset score slips, return reusable tools.</x:v>
      </x:c>
    </x:row>
    <x:row r="25">
      <x:c r="A25" s="10" t="str">
        <x:v>PYS-08 kit</x:v>
      </x:c>
      <x:c r="B25" s="10" t="str">
        <x:v>PY-STEM</x:v>
      </x:c>
      <x:c r="C25" s="10" t="str">
        <x:v>PYS-08 Low-Ropes Force Map Relay</x:v>
      </x:c>
      <x:c r="D25" s="10" t="str">
        <x:v>element cards, clipboards, center-of-mass templates, pencils</x:v>
      </x:c>
      <x:c r="E25" s="10" t="str"/>
      <x:c r="F25" s="10" t="str"/>
      <x:c r="G25" s="10" t="str">
        <x:v>Check consumables, reset score slips, return reusable tools.</x:v>
      </x:c>
    </x:row>
    <x:row r="26">
      <x:c r="A26" s="10" t="str">
        <x:v>PYS-09 kit</x:v>
      </x:c>
      <x:c r="B26" s="10" t="str">
        <x:v>PY-STEM</x:v>
      </x:c>
      <x:c r="C26" s="10" t="str">
        <x:v>PYS-09 Hovercraft Hockey Hackathon</x:v>
      </x:c>
      <x:c r="D26" s="10" t="str">
        <x:v>recycled CDs or plastic discs, pop-top bottle caps, balloons, hot glue station, targets, floor tape</x:v>
      </x:c>
      <x:c r="E26" s="10" t="str"/>
      <x:c r="F26" s="10" t="str"/>
      <x:c r="G26" s="10" t="str">
        <x:v>Check consumables, reset score slips, return reusable tools.</x:v>
      </x:c>
    </x:row>
    <x:row r="27">
      <x:c r="A27" s="10" t="str">
        <x:v>PYS-10 kit</x:v>
      </x:c>
      <x:c r="B27" s="10" t="str">
        <x:v>PY-STEM</x:v>
      </x:c>
      <x:c r="C27" s="10" t="str">
        <x:v>PYS-10 Spectra Sleuth Showdown</x:v>
      </x:c>
      <x:c r="D27" s="10" t="str">
        <x:v>diffraction glasses or gratings, LED sources, incandescent source if available, spectrum cards, museum clue sheets</x:v>
      </x:c>
      <x:c r="E27" s="10" t="str"/>
      <x:c r="F27" s="10" t="str"/>
      <x:c r="G27" s="10" t="str">
        <x:v>Check consumables, reset score slips, return reusable tools.</x:v>
      </x:c>
    </x:row>
    <x:row r="28">
      <x:c r="A28" s="10" t="str">
        <x:v>PYS-11 kit</x:v>
      </x:c>
      <x:c r="B28" s="10" t="str">
        <x:v>PY-STEM</x:v>
      </x:c>
      <x:c r="C28" s="10" t="str">
        <x:v>PYS-11 BookBot Bin Logic Challenge</x:v>
      </x:c>
      <x:c r="D28" s="10" t="str">
        <x:v>bin cards, address labels, order deck, route mat, timers, optional grabber tool</x:v>
      </x:c>
      <x:c r="E28" s="10" t="str"/>
      <x:c r="F28" s="10" t="str"/>
      <x:c r="G28" s="10" t="str">
        <x:v>Check consumables, reset score slips, return reusable tools.</x:v>
      </x:c>
    </x:row>
    <x:row r="29">
      <x:c r="A29" s="10" t="str">
        <x:v>PYS-12 kit</x:v>
      </x:c>
      <x:c r="B29" s="10" t="str">
        <x:v>PY-STEM</x:v>
      </x:c>
      <x:c r="C29" s="10" t="str">
        <x:v>PYS-12 Accessibility Ramp Rescue Lab</x:v>
      </x:c>
      <x:c r="D29" s="10" t="str">
        <x:v>foam board, craft sticks, dowels, binder clips, rulers, weighted cart</x:v>
      </x:c>
      <x:c r="E29" s="10" t="str"/>
      <x:c r="F29" s="10" t="str"/>
      <x:c r="G29" s="10" t="str">
        <x:v>Check consumables, reset score slips, return reusable tools.</x:v>
      </x:c>
    </x:row>
    <x:row r="30">
      <x:c r="A30" s="10" t="str">
        <x:v>PYB-01 kit</x:v>
      </x:c>
      <x:c r="B30" s="10" t="str">
        <x:v>PY-STEM</x:v>
      </x:c>
      <x:c r="C30" s="10" t="str">
        <x:v>PYB-01 Pencil Pressure Safety Lab</x:v>
      </x:c>
      <x:c r="D30" s="10" t="str">
        <x:v>pencils, foam, cardboard, weights, graph paper</x:v>
      </x:c>
      <x:c r="E30" s="10" t="str"/>
      <x:c r="F30" s="10" t="str"/>
      <x:c r="G30" s="10" t="str">
        <x:v>Check consumables, reset score slips, return reusable tools.</x:v>
      </x:c>
    </x:row>
    <x:row r="31">
      <x:c r="A31" s="10" t="str">
        <x:v>PYB-02 kit</x:v>
      </x:c>
      <x:c r="B31" s="10" t="str">
        <x:v>PY-STEM</x:v>
      </x:c>
      <x:c r="C31" s="10" t="str">
        <x:v>PYB-02 Domino Neuron Relay</x:v>
      </x:c>
      <x:c r="D31" s="10" t="str">
        <x:v>dominoes, rulers, tape, index cards</x:v>
      </x:c>
      <x:c r="E31" s="10" t="str"/>
      <x:c r="F31" s="10" t="str"/>
      <x:c r="G31" s="10" t="str">
        <x:v>Check consumables, reset score slips, return reusable tools.</x:v>
      </x:c>
    </x:row>
    <x:row r="32">
      <x:c r="A32" s="10" t="str">
        <x:v>PYB-03 kit</x:v>
      </x:c>
      <x:c r="B32" s="10" t="str">
        <x:v>PY-STEM</x:v>
      </x:c>
      <x:c r="C32" s="10" t="str">
        <x:v>PYB-03 Pulley Rescue Relay</x:v>
      </x:c>
      <x:c r="D32" s="10" t="str">
        <x:v>classroom pulleys, string, weights, spring scales if available</x:v>
      </x:c>
      <x:c r="E32" s="10" t="str"/>
      <x:c r="F32" s="10" t="str"/>
      <x:c r="G32" s="10" t="str">
        <x:v>Check consumables, reset score slips, return reusable tools.</x:v>
      </x:c>
    </x:row>
    <x:row r="33">
      <x:c r="A33" s="10" t="str">
        <x:v>PYB-04 kit</x:v>
      </x:c>
      <x:c r="B33" s="10" t="str">
        <x:v>PY-STEM</x:v>
      </x:c>
      <x:c r="C33" s="10" t="str">
        <x:v>PYB-04 Barcode Checksum Rescue</x:v>
      </x:c>
      <x:c r="D33" s="10" t="str">
        <x:v>printed barcode cards, dry erase boards, timers</x:v>
      </x:c>
      <x:c r="E33" s="10" t="str"/>
      <x:c r="F33" s="10" t="str"/>
      <x:c r="G33" s="10" t="str">
        <x:v>Check consumables, reset score slips, return reusable tools.</x:v>
      </x:c>
    </x:row>
  </x:sheetData>
  <x:pageMargins left="0.7" right="0.7" top="0.75" bottom="0.75" header="0.3" footer="0.3"/>
  <x:tableParts count="1">
    <x:tablePart xmlns:r="http://schemas.openxmlformats.org/officeDocument/2006/relationships" r:id="R6d62da583568409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24" hidden="0" customWidth="1"/>
    <x:col min="4" max="4" width="16" hidden="0" customWidth="1"/>
    <x:col min="5" max="5" width="35" hidden="0" customWidth="1"/>
    <x:col min="6" max="6" width="60" hidden="0" customWidth="1"/>
  </x:cols>
  <x:sheetData>
    <x:row r="1">
      <x:c r="A1" s="4" t="str">
        <x:v>Source or item</x:v>
      </x:c>
      <x:c r="B1" s="4" t="str">
        <x:v>URL</x:v>
      </x:c>
      <x:c r="C1" s="4" t="str">
        <x:v>Status</x:v>
      </x:c>
      <x:c r="D1" s="4" t="str">
        <x:v>Last checked date</x:v>
      </x:c>
      <x:c r="E1" s="4" t="str">
        <x:v>Used for</x:v>
      </x:c>
      <x:c r="F1" s="4" t="str">
        <x:v>Notes</x:v>
      </x:c>
    </x:row>
    <x:row r="2">
      <x:c r="A2" s="10" t="str">
        <x:v>Science History Institute Flash! Bang! Boom!</x:v>
      </x:c>
      <x:c r="B2" s="10" t="str">
        <x:v>https://www.sciencehistory.org/visit/exhibitions/history-of-fireworks/</x:v>
      </x:c>
      <x:c r="C2" s="10" t="str">
        <x:v>verified official web source</x:v>
      </x:c>
      <x:c r="D2" s="10" t="str">
        <x:v>2026-05-27</x:v>
      </x:c>
      <x:c r="E2" s="10" t="str">
        <x:v>PYS-10 Spectra Sleuth and trip tie-in</x:v>
      </x:c>
      <x:c r="F2" s="10" t="str">
        <x:v>On view through July 31, 2027 per official source.</x:v>
      </x:c>
    </x:row>
    <x:row r="3">
      <x:c r="A3" s="10" t="str">
        <x:v>Temple Libraries BookBot</x:v>
      </x:c>
      <x:c r="B3" s="10" t="str">
        <x:v>https://library.temple.edu/spaces/charles-in-charge</x:v>
      </x:c>
      <x:c r="C3" s="10" t="str">
        <x:v>verified official web source</x:v>
      </x:c>
      <x:c r="D3" s="10" t="str">
        <x:v>2026-05-27</x:v>
      </x:c>
      <x:c r="E3" s="10" t="str">
        <x:v>PYS-11 BookBot Bin Logic Challenge</x:v>
      </x:c>
      <x:c r="F3" s="10" t="str">
        <x:v>ASRS with nearly 1.5 million volumes per official source.</x:v>
      </x:c>
    </x:row>
    <x:row r="4">
      <x:c r="A4" s="10" t="str">
        <x:v>Temple Ambler Greenhouse</x:v>
      </x:c>
      <x:c r="B4" s="10" t="str">
        <x:v>https://ambler.temple.edu/campus-resources/greenhouse</x:v>
      </x:c>
      <x:c r="C4" s="10" t="str">
        <x:v>verified official web source</x:v>
      </x:c>
      <x:c r="D4" s="10" t="str">
        <x:v>2026-05-27</x:v>
      </x:c>
      <x:c r="E4" s="10" t="str">
        <x:v>TTT-05 Greenhouse Climate Controller</x:v>
      </x:c>
      <x:c r="F4" s="10" t="str">
        <x:v>Environmental controls and weather station.</x:v>
      </x:c>
    </x:row>
    <x:row r="5">
      <x:c r="A5" s="10" t="str">
        <x:v>micro:bit data logging</x:v>
      </x:c>
      <x:c r="B5" s="10" t="str">
        <x:v>https://microbit.org/get-started/user-guide/data-logging/</x:v>
      </x:c>
      <x:c r="C5" s="10" t="str">
        <x:v>verified official web source</x:v>
      </x:c>
      <x:c r="D5" s="10" t="str">
        <x:v>2026-05-27</x:v>
      </x:c>
      <x:c r="E5" s="10" t="str">
        <x:v>Source audit only</x:v>
      </x:c>
      <x:c r="F5" s="10" t="str">
        <x:v>Not in final procurement because micro:bit activity was not selected.</x:v>
      </x:c>
    </x:row>
    <x:row r="6">
      <x:c r="A6" s="10" t="str">
        <x:v>JUNAN magnets B09V14FGQF</x:v>
      </x:c>
      <x:c r="B6" s="10" t="str">
        <x:v>https://www.amazon.com/dp/B09V14FGQF</x:v>
      </x:c>
      <x:c r="C6" s="10" t="str">
        <x:v>verified Amazon page</x:v>
      </x:c>
      <x:c r="D6" s="10" t="str">
        <x:v>2026-05-27</x:v>
      </x:c>
      <x:c r="E6" s="10" t="str">
        <x:v>PYS-01</x:v>
      </x:c>
      <x:c r="F6" s="10" t="str">
        <x:v>Current public price found: 6.99.</x:v>
      </x:c>
    </x:row>
    <x:row r="7">
      <x:c r="A7" s="10" t="str">
        <x:v>Boom 6x1.5 magnets B0BV6P6YYS</x:v>
      </x:c>
      <x:c r="B7" s="10" t="str">
        <x:v>https://www.amazon.com/dp/B0BV6P6YYS</x:v>
      </x:c>
      <x:c r="C7" s="10" t="str">
        <x:v>verified Amazon page</x:v>
      </x:c>
      <x:c r="D7" s="10" t="str">
        <x:v>2026-05-27</x:v>
      </x:c>
      <x:c r="E7" s="10" t="str">
        <x:v>PYS-01</x:v>
      </x:c>
      <x:c r="F7" s="10" t="str">
        <x:v>Current public price found: 19.49.</x:v>
      </x:c>
    </x:row>
    <x:row r="8">
      <x:c r="A8" s="10" t="str">
        <x:v>Diffraction glasses B00JV06CV6</x:v>
      </x:c>
      <x:c r="B8" s="10" t="str">
        <x:v>https://www.amazon.com/dp/B00JV06CV6</x:v>
      </x:c>
      <x:c r="C8" s="10" t="str">
        <x:v>unverified price</x:v>
      </x:c>
      <x:c r="D8" s="10" t="str">
        <x:v>2026-05-27</x:v>
      </x:c>
      <x:c r="E8" s="10" t="str">
        <x:v>PYS-10 and prizes</x:v>
      </x:c>
      <x:c r="F8" s="10" t="str">
        <x:v>Product page visible, price not reliably exposed.</x:v>
      </x:c>
    </x:row>
    <x:row r="9">
      <x:c r="A9" s="10" t="str">
        <x:v>Slinky Jr B00000IZGI</x:v>
      </x:c>
      <x:c r="B9" s="10" t="str">
        <x:v>https://www.amazon.com/dp/B00000IZGI</x:v>
      </x:c>
      <x:c r="C9" s="10" t="str">
        <x:v>unverified price</x:v>
      </x:c>
      <x:c r="D9" s="10" t="str">
        <x:v>2026-05-27</x:v>
      </x:c>
      <x:c r="E9" s="10" t="str">
        <x:v>PYS-06 and prizes</x:v>
      </x:c>
      <x:c r="F9" s="10" t="str">
        <x:v>Product page visible, price not reliably exposed.</x:v>
      </x:c>
    </x:row>
    <x:row r="10">
      <x:c r="A10" s="10" t="str">
        <x:v>MudWatt</x:v>
      </x:c>
      <x:c r="B10" s="10" t="str">
        <x:v>https://www.amazon.com/s?k=MudWatt+STEM+kit</x:v>
      </x:c>
      <x:c r="C10" s="10" t="str">
        <x:v>search URL only</x:v>
      </x:c>
      <x:c r="D10" s="10" t="str">
        <x:v>2026-05-27</x:v>
      </x:c>
      <x:c r="E10" s="10" t="str">
        <x:v>TTT-01</x:v>
      </x:c>
      <x:c r="F10" s="10" t="str">
        <x:v>Inventory or same-day procurement check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93129ed7c6d24257"/>
  </x:tableParts>
</x:worksheet>
</file>